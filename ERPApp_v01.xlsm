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lve\OneDrive\Documents\"/>
    </mc:Choice>
  </mc:AlternateContent>
  <xr:revisionPtr revIDLastSave="0" documentId="8_{EC437DE9-0726-480A-BF0A-0479D069955C}" xr6:coauthVersionLast="47" xr6:coauthVersionMax="47" xr10:uidLastSave="{00000000-0000-0000-0000-000000000000}"/>
  <bookViews>
    <workbookView xWindow="-98" yWindow="-98" windowWidth="20715" windowHeight="13155" xr2:uid="{2343B02A-7AC6-4713-897E-BB45EE10C15E}"/>
  </bookViews>
  <sheets>
    <sheet name="ERP" sheetId="1" r:id="rId1"/>
    <sheet name="Invoices" sheetId="2" r:id="rId2"/>
    <sheet name="Lists" sheetId="3" r:id="rId3"/>
    <sheet name="Invoice Items" sheetId="4" r:id="rId4"/>
    <sheet name="Purchases" sheetId="5" r:id="rId5"/>
    <sheet name="PurchItems" sheetId="6" r:id="rId6"/>
    <sheet name="Customers" sheetId="7" r:id="rId7"/>
    <sheet name="Inventory Items" sheetId="8" r:id="rId8"/>
    <sheet name="Transactions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" i="8" l="1"/>
  <c r="K5" i="8"/>
  <c r="K6" i="8"/>
  <c r="K7" i="8"/>
  <c r="K8" i="8"/>
  <c r="K9" i="8"/>
  <c r="K10" i="8"/>
  <c r="K11" i="8"/>
  <c r="K12" i="8"/>
  <c r="K13" i="8"/>
  <c r="K14" i="8"/>
  <c r="K15" i="8"/>
  <c r="K3" i="8"/>
  <c r="F4" i="6"/>
  <c r="F5" i="6"/>
  <c r="F6" i="6"/>
  <c r="F7" i="6"/>
  <c r="F8" i="6"/>
  <c r="F9" i="6"/>
  <c r="F10" i="6"/>
  <c r="F11" i="6"/>
  <c r="F3" i="6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3" i="4"/>
</calcChain>
</file>

<file path=xl/sharedStrings.xml><?xml version="1.0" encoding="utf-8"?>
<sst xmlns="http://schemas.openxmlformats.org/spreadsheetml/2006/main" count="296" uniqueCount="139">
  <si>
    <t>Acct Type</t>
  </si>
  <si>
    <t>Sel. Rep. Row</t>
  </si>
  <si>
    <t>Next Inv. ID</t>
  </si>
  <si>
    <t>Next PO ID</t>
  </si>
  <si>
    <t>Inv. #</t>
  </si>
  <si>
    <t>Customer</t>
  </si>
  <si>
    <t>Date</t>
  </si>
  <si>
    <t>Total</t>
  </si>
  <si>
    <t>Jarrow Inc</t>
  </si>
  <si>
    <t>Invoice List</t>
  </si>
  <si>
    <t>Criteria</t>
  </si>
  <si>
    <t>Total Sales</t>
  </si>
  <si>
    <t>&gt;=</t>
  </si>
  <si>
    <t>&lt;=</t>
  </si>
  <si>
    <t>abc</t>
  </si>
  <si>
    <t>abcd</t>
  </si>
  <si>
    <t>ab</t>
  </si>
  <si>
    <t>abcde</t>
  </si>
  <si>
    <t>Income &amp; Expense Accounts</t>
  </si>
  <si>
    <t>Account Name</t>
  </si>
  <si>
    <t>Type</t>
  </si>
  <si>
    <t>Customer Sales</t>
  </si>
  <si>
    <t>Income</t>
  </si>
  <si>
    <t>Interest Earned</t>
  </si>
  <si>
    <t>Rental Income</t>
  </si>
  <si>
    <t>Entertainment</t>
  </si>
  <si>
    <t>Meals</t>
  </si>
  <si>
    <t>Office Lease</t>
  </si>
  <si>
    <t>Supplies</t>
  </si>
  <si>
    <t>Utilities</t>
  </si>
  <si>
    <t>Categories</t>
  </si>
  <si>
    <t>Family</t>
  </si>
  <si>
    <t>Groceries &amp; Foods</t>
  </si>
  <si>
    <t>Office</t>
  </si>
  <si>
    <t>Outside Job</t>
  </si>
  <si>
    <t>Personal</t>
  </si>
  <si>
    <t>Vendors</t>
  </si>
  <si>
    <t>ACE Hardware</t>
  </si>
  <si>
    <t>Ceramics Plus</t>
  </si>
  <si>
    <t>Fredders Tile</t>
  </si>
  <si>
    <t>Home Depot</t>
  </si>
  <si>
    <t>Johnson Plumbing</t>
  </si>
  <si>
    <t>Expense</t>
  </si>
  <si>
    <t>Item</t>
  </si>
  <si>
    <t>Description</t>
  </si>
  <si>
    <t>QTY</t>
  </si>
  <si>
    <t>Amount</t>
  </si>
  <si>
    <t>HUNKY SUPERIOR</t>
  </si>
  <si>
    <t>HEAVY YOUTH</t>
  </si>
  <si>
    <t>KIDS EXACT 150T</t>
  </si>
  <si>
    <t>LADIES CHICK SHIRT</t>
  </si>
  <si>
    <t>HEAVY YOUTH T</t>
  </si>
  <si>
    <t>KIDS 190 T-SHIRT</t>
  </si>
  <si>
    <t>KIDS EXACT 150 T</t>
  </si>
  <si>
    <t>INVOICE ITEMS</t>
  </si>
  <si>
    <t>Purchases List</t>
  </si>
  <si>
    <t>Vendor</t>
  </si>
  <si>
    <t>PO. #</t>
  </si>
  <si>
    <t>PURCHASE ITEMS</t>
  </si>
  <si>
    <t>Purch. #</t>
  </si>
  <si>
    <t>HYNKY SUPERIOR</t>
  </si>
  <si>
    <t>LADIES CHIC SHIRT</t>
  </si>
  <si>
    <t>ADULT T-SHIRT</t>
  </si>
  <si>
    <t>CUSTOMER LIST</t>
  </si>
  <si>
    <t>Cust ID</t>
  </si>
  <si>
    <t>Name</t>
  </si>
  <si>
    <t>Office #</t>
  </si>
  <si>
    <t>Mobile #</t>
  </si>
  <si>
    <t>Email</t>
  </si>
  <si>
    <t>Status</t>
  </si>
  <si>
    <t>Website</t>
  </si>
  <si>
    <t>Address</t>
  </si>
  <si>
    <t>City</t>
  </si>
  <si>
    <t>State</t>
  </si>
  <si>
    <t>Zip</t>
  </si>
  <si>
    <t>Arcu Associates</t>
  </si>
  <si>
    <t>Asia Electric</t>
  </si>
  <si>
    <t>Prospect</t>
  </si>
  <si>
    <t>Lead</t>
  </si>
  <si>
    <t>Active</t>
  </si>
  <si>
    <t>www.google.com</t>
  </si>
  <si>
    <t>Gresham</t>
  </si>
  <si>
    <t>OR</t>
  </si>
  <si>
    <t xml:space="preserve">Warren </t>
  </si>
  <si>
    <t>MI</t>
  </si>
  <si>
    <t>Oklahoma</t>
  </si>
  <si>
    <t>Biloxi</t>
  </si>
  <si>
    <t>Mississippi</t>
  </si>
  <si>
    <t>Inventory Item</t>
  </si>
  <si>
    <t>Item Name</t>
  </si>
  <si>
    <t>Item Description</t>
  </si>
  <si>
    <t>Purch. Qty</t>
  </si>
  <si>
    <t>Item Cost</t>
  </si>
  <si>
    <t>Sales Price</t>
  </si>
  <si>
    <t>EXACT 150 T-SHIRT</t>
  </si>
  <si>
    <t>KIDS 190 T-SHORT</t>
  </si>
  <si>
    <t>KIDS EXACT 150 T-SHIRT</t>
  </si>
  <si>
    <t>LADIES PERFECT T</t>
  </si>
  <si>
    <t>LADIES T-SHIRT</t>
  </si>
  <si>
    <t>MENS CHIC T-SHIRT</t>
  </si>
  <si>
    <t>PERFECT PRO SHIRT</t>
  </si>
  <si>
    <t>ULTRA ADULT T</t>
  </si>
  <si>
    <t>Note</t>
  </si>
  <si>
    <t>Purchased</t>
  </si>
  <si>
    <t>Sold</t>
  </si>
  <si>
    <t>In Stock</t>
  </si>
  <si>
    <t>Transactions</t>
  </si>
  <si>
    <t>Account</t>
  </si>
  <si>
    <t>Category</t>
  </si>
  <si>
    <t>Memo</t>
  </si>
  <si>
    <t>Income Results</t>
  </si>
  <si>
    <t>Offuice Lease</t>
  </si>
  <si>
    <t>I3</t>
  </si>
  <si>
    <t>B4</t>
  </si>
  <si>
    <t>I5</t>
  </si>
  <si>
    <t>Groceries</t>
  </si>
  <si>
    <t>Test</t>
  </si>
  <si>
    <t>August Renral Income</t>
  </si>
  <si>
    <t>Steak Dinner</t>
  </si>
  <si>
    <t>Office B-Day Cake</t>
  </si>
  <si>
    <t>Business Sales</t>
  </si>
  <si>
    <t>ERP APPLICATION</t>
  </si>
  <si>
    <t>INCOME &amp; EXPENSES</t>
  </si>
  <si>
    <t>INVOICING &amp; SALES</t>
  </si>
  <si>
    <t>PURCHASE ORDER</t>
  </si>
  <si>
    <t>REPORTS &amp; GRAPHS</t>
  </si>
  <si>
    <t>Customer Name</t>
  </si>
  <si>
    <t>Qty</t>
  </si>
  <si>
    <t>Invoice Total:</t>
  </si>
  <si>
    <t>Purchase Total:</t>
  </si>
  <si>
    <t>Sales by Customer</t>
  </si>
  <si>
    <t>Inventory Stock Report</t>
  </si>
  <si>
    <t>Income Expenses</t>
  </si>
  <si>
    <t>From</t>
  </si>
  <si>
    <t>To</t>
  </si>
  <si>
    <t>K3</t>
  </si>
  <si>
    <t>K5</t>
  </si>
  <si>
    <t>I7</t>
  </si>
  <si>
    <t>abcdef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</si>
</sst>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rgb="FF00B0F0"/>
        </stop>
        <stop position="1">
          <color theme="4"/>
        </stop>
      </gradientFill>
    </fill>
    <fill>
      <gradientFill degree="270">
        <stop position="0">
          <color rgb="FF00B0F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</cellStyleXfs>
  <cellXfs count="56">
    <xf numFmtId="0" fontId="0" fillId="0" borderId="0" xfId="0"/>
    <xf numFmtId="0" fontId="0" fillId="4" borderId="0" xfId="0" applyFill="1"/>
    <xf numFmtId="0" fontId="0" fillId="5" borderId="0" xfId="0" applyFill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7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44" fontId="0" fillId="0" borderId="0" xfId="1" applyFont="1"/>
    <xf numFmtId="44" fontId="0" fillId="0" borderId="0" xfId="0" applyNumberFormat="1"/>
    <xf numFmtId="0" fontId="0" fillId="11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4" fillId="0" borderId="0" xfId="4"/>
    <xf numFmtId="0" fontId="0" fillId="17" borderId="0" xfId="0" applyFill="1"/>
    <xf numFmtId="0" fontId="0" fillId="17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5" fillId="19" borderId="0" xfId="0" applyFont="1" applyFill="1" applyAlignment="1">
      <alignment horizontal="center" vertical="center"/>
    </xf>
    <xf numFmtId="0" fontId="0" fillId="21" borderId="0" xfId="0" applyFill="1" applyAlignment="1">
      <alignment horizontal="right"/>
    </xf>
    <xf numFmtId="0" fontId="0" fillId="21" borderId="0" xfId="0" applyFill="1" applyAlignment="1">
      <alignment horizontal="left"/>
    </xf>
    <xf numFmtId="0" fontId="3" fillId="3" borderId="0" xfId="3" applyAlignment="1">
      <alignment horizontal="right"/>
    </xf>
    <xf numFmtId="0" fontId="2" fillId="2" borderId="1" xfId="2"/>
    <xf numFmtId="0" fontId="0" fillId="21" borderId="0" xfId="0" applyFill="1" applyAlignment="1">
      <alignment horizontal="center"/>
    </xf>
    <xf numFmtId="0" fontId="3" fillId="3" borderId="0" xfId="3" applyAlignment="1">
      <alignment horizontal="center"/>
    </xf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0" xfId="0" applyFill="1" applyBorder="1"/>
    <xf numFmtId="0" fontId="0" fillId="22" borderId="11" xfId="0" applyFill="1" applyBorder="1"/>
    <xf numFmtId="0" fontId="0" fillId="22" borderId="12" xfId="0" applyFill="1" applyBorder="1"/>
    <xf numFmtId="0" fontId="0" fillId="22" borderId="13" xfId="0" applyFill="1" applyBorder="1"/>
    <xf numFmtId="0" fontId="5" fillId="19" borderId="0" xfId="0" applyFont="1" applyFill="1" applyAlignment="1">
      <alignment vertical="center"/>
    </xf>
    <xf numFmtId="0" fontId="5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21" borderId="0" xfId="0" applyFill="1" applyAlignment="1">
      <alignment horizontal="right"/>
    </xf>
    <xf numFmtId="0" fontId="2" fillId="2" borderId="2" xfId="2" applyBorder="1" applyAlignment="1">
      <alignment horizontal="center"/>
    </xf>
    <xf numFmtId="0" fontId="2" fillId="2" borderId="3" xfId="2" applyBorder="1" applyAlignment="1">
      <alignment horizontal="center"/>
    </xf>
    <xf numFmtId="0" fontId="2" fillId="2" borderId="4" xfId="2" applyBorder="1" applyAlignment="1">
      <alignment horizontal="center"/>
    </xf>
    <xf numFmtId="0" fontId="7" fillId="19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</cellXfs>
  <cellStyles count="5">
    <cellStyle name="Accent5" xfId="3" builtinId="45"/>
    <cellStyle name="Currency" xfId="1" builtinId="4"/>
    <cellStyle name="Hyperlink" xfId="4" builtinId="8"/>
    <cellStyle name="Normal" xfId="0" builtinId="0"/>
    <cellStyle name="Output" xfId="2" builtinId="21"/>
  </cellStyles>
  <dxfs count="3">
    <dxf>
      <font>
        <b/>
        <i val="0"/>
      </font>
      <fill>
        <gradientFill>
          <stop position="0">
            <color rgb="FF00A1DA"/>
          </stop>
          <stop position="1">
            <color theme="8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5DD5FF"/>
        </patternFill>
      </fill>
    </dxf>
    <dxf>
      <fill>
        <patternFill>
          <bgColor rgb="FF5DD5FF"/>
        </patternFill>
      </fill>
    </dxf>
  </dxfs>
  <tableStyles count="0" defaultTableStyle="TableStyleMedium2" defaultPivotStyle="PivotStyleLight16"/>
  <colors>
    <mruColors>
      <color rgb="FF00A1DA"/>
      <color rgb="FF5DD5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770729</xdr:colOff>
      <xdr:row>3</xdr:row>
      <xdr:rowOff>68261</xdr:rowOff>
    </xdr:from>
    <xdr:to>
      <xdr:col>3</xdr:col>
      <xdr:colOff>266439</xdr:colOff>
      <xdr:row>27</xdr:row>
      <xdr:rowOff>58739</xdr:rowOff>
    </xdr:to>
    <xdr:grpSp>
      <xdr:nvGrpSpPr>
        <xdr:cNvPr id="10" name="HomeGrp" hidden="1">
          <a:extLst>
            <a:ext uri="{FF2B5EF4-FFF2-40B4-BE49-F238E27FC236}">
              <a16:creationId xmlns:a16="http://schemas.microsoft.com/office/drawing/2014/main" id="{80E017EB-3C4E-414B-2334-DAD8A697A505}"/>
            </a:ext>
          </a:extLst>
        </xdr:cNvPr>
        <xdr:cNvGrpSpPr/>
      </xdr:nvGrpSpPr>
      <xdr:grpSpPr>
        <a:xfrm>
          <a:off x="2225938" y="973137"/>
          <a:ext cx="4321710" cy="4308478"/>
          <a:chOff x="2225938" y="973137"/>
          <a:chExt cx="4321710" cy="4308478"/>
        </a:xfrm>
      </xdr:grpSpPr>
      <xdr:sp macro="" textlink="">
        <xdr:nvSpPr>
          <xdr:cNvPr id="24" name="Flowchart: Connector 23" hidden="1">
            <a:extLst>
              <a:ext uri="{FF2B5EF4-FFF2-40B4-BE49-F238E27FC236}">
                <a16:creationId xmlns:a16="http://schemas.microsoft.com/office/drawing/2014/main" id="{0A308097-A3D5-BDF7-C061-CB3108915896}"/>
              </a:ext>
            </a:extLst>
          </xdr:cNvPr>
          <xdr:cNvSpPr/>
        </xdr:nvSpPr>
        <xdr:spPr>
          <a:xfrm>
            <a:off x="3284954" y="1976872"/>
            <a:ext cx="2260803" cy="2239463"/>
          </a:xfrm>
          <a:prstGeom prst="flowChartConnector">
            <a:avLst/>
          </a:prstGeom>
          <a:solidFill>
            <a:srgbClr val="00FFFF"/>
          </a:solidFill>
          <a:ln>
            <a:solidFill>
              <a:schemeClr val="accent5">
                <a:lumMod val="75000"/>
              </a:schemeClr>
            </a:solidFill>
            <a:beve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600" b="1">
                <a:solidFill>
                  <a:schemeClr val="bg1">
                    <a:lumMod val="50000"/>
                  </a:schemeClr>
                </a:solidFill>
              </a:rPr>
              <a:t>ERP</a:t>
            </a:r>
          </a:p>
        </xdr:txBody>
      </xdr:sp>
      <xdr:grpSp>
        <xdr:nvGrpSpPr>
          <xdr:cNvPr id="32" name="Group 31" hidden="1">
            <a:extLst>
              <a:ext uri="{FF2B5EF4-FFF2-40B4-BE49-F238E27FC236}">
                <a16:creationId xmlns:a16="http://schemas.microsoft.com/office/drawing/2014/main" id="{55E6F9B7-78EB-1A27-F6D7-BA4FBB056716}"/>
              </a:ext>
            </a:extLst>
          </xdr:cNvPr>
          <xdr:cNvGrpSpPr/>
        </xdr:nvGrpSpPr>
        <xdr:grpSpPr>
          <a:xfrm>
            <a:off x="2225938" y="973137"/>
            <a:ext cx="4321710" cy="4308478"/>
            <a:chOff x="3259929" y="1052511"/>
            <a:chExt cx="4324356" cy="4333878"/>
          </a:xfr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grpSpPr>
        <xdr:sp macro="[0]!Menu_Invoice" textlink="">
          <xdr:nvSpPr>
            <xdr:cNvPr id="2" name="Block Arc 1" hidden="1">
              <a:extLst>
                <a:ext uri="{FF2B5EF4-FFF2-40B4-BE49-F238E27FC236}">
                  <a16:creationId xmlns:a16="http://schemas.microsoft.com/office/drawing/2014/main" id="{4E44D379-D700-0D99-E362-891529517537}"/>
                </a:ext>
              </a:extLst>
            </xdr:cNvPr>
            <xdr:cNvSpPr/>
          </xdr:nvSpPr>
          <xdr:spPr>
            <a:xfrm>
              <a:off x="3338512" y="1095376"/>
              <a:ext cx="4210050" cy="4291013"/>
            </a:xfrm>
            <a:prstGeom prst="blockArc">
              <a:avLst>
                <a:gd name="adj1" fmla="val 16200000"/>
                <a:gd name="adj2" fmla="val 0"/>
                <a:gd name="adj3" fmla="val 25000"/>
              </a:avLst>
            </a:prstGeom>
            <a:solidFill>
              <a:srgbClr val="002060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  <xdr:sp macro="[0]!Menu_Purchase" textlink="">
          <xdr:nvSpPr>
            <xdr:cNvPr id="5" name="Block Arc 4" hidden="1">
              <a:extLst>
                <a:ext uri="{FF2B5EF4-FFF2-40B4-BE49-F238E27FC236}">
                  <a16:creationId xmlns:a16="http://schemas.microsoft.com/office/drawing/2014/main" id="{2D5D2BD2-2A70-4176-AAE1-5F97AEEECB2D}"/>
                </a:ext>
              </a:extLst>
            </xdr:cNvPr>
            <xdr:cNvSpPr/>
          </xdr:nvSpPr>
          <xdr:spPr>
            <a:xfrm rot="10800000">
              <a:off x="3300414" y="1052511"/>
              <a:ext cx="4210050" cy="4291013"/>
            </a:xfrm>
            <a:prstGeom prst="blockArc">
              <a:avLst>
                <a:gd name="adj1" fmla="val 16200000"/>
                <a:gd name="adj2" fmla="val 0"/>
                <a:gd name="adj3" fmla="val 25000"/>
              </a:avLst>
            </a:prstGeom>
            <a:solidFill>
              <a:schemeClr val="accent2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  <xdr:sp macro="[0]!Menu_Reports" textlink="">
          <xdr:nvSpPr>
            <xdr:cNvPr id="6" name="Block Arc 5" hidden="1">
              <a:extLst>
                <a:ext uri="{FF2B5EF4-FFF2-40B4-BE49-F238E27FC236}">
                  <a16:creationId xmlns:a16="http://schemas.microsoft.com/office/drawing/2014/main" id="{09418A29-7311-4F25-83D6-C0A277354952}"/>
                </a:ext>
              </a:extLst>
            </xdr:cNvPr>
            <xdr:cNvSpPr/>
          </xdr:nvSpPr>
          <xdr:spPr>
            <a:xfrm rot="5400000">
              <a:off x="3300411" y="1095369"/>
              <a:ext cx="4210050" cy="4291013"/>
            </a:xfrm>
            <a:prstGeom prst="blockArc">
              <a:avLst>
                <a:gd name="adj1" fmla="val 16200000"/>
                <a:gd name="adj2" fmla="val 0"/>
                <a:gd name="adj3" fmla="val 25000"/>
              </a:avLst>
            </a:prstGeom>
            <a:solidFill>
              <a:srgbClr val="7030A0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  <xdr:sp macro="[0]!Menu_IncomeExpense" textlink="">
          <xdr:nvSpPr>
            <xdr:cNvPr id="7" name="Block Arc 6" hidden="1">
              <a:extLst>
                <a:ext uri="{FF2B5EF4-FFF2-40B4-BE49-F238E27FC236}">
                  <a16:creationId xmlns:a16="http://schemas.microsoft.com/office/drawing/2014/main" id="{45DD2ADF-31E7-4AAA-8CC8-44B1C2287FD8}"/>
                </a:ext>
              </a:extLst>
            </xdr:cNvPr>
            <xdr:cNvSpPr/>
          </xdr:nvSpPr>
          <xdr:spPr>
            <a:xfrm rot="16200000">
              <a:off x="3333754" y="1057275"/>
              <a:ext cx="4210050" cy="4291012"/>
            </a:xfrm>
            <a:prstGeom prst="blockArc">
              <a:avLst>
                <a:gd name="adj1" fmla="val 16200000"/>
                <a:gd name="adj2" fmla="val 0"/>
                <a:gd name="adj3" fmla="val 25000"/>
              </a:avLst>
            </a:prstGeom>
            <a:solidFill>
              <a:srgbClr val="00B050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</xdr:grpSp>
      <xdr:pic macro="[0]!Menu_Reports">
        <xdr:nvPicPr>
          <xdr:cNvPr id="11" name="Graphic 10" descr="Presentation with bar chart outline" hidden="1">
            <a:extLst>
              <a:ext uri="{FF2B5EF4-FFF2-40B4-BE49-F238E27FC236}">
                <a16:creationId xmlns:a16="http://schemas.microsoft.com/office/drawing/2014/main" id="{A9842096-37FB-F977-13A4-4EF22F6136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07674" y="3477735"/>
            <a:ext cx="656823" cy="653373"/>
          </a:xfrm>
          <a:prstGeom prst="rect">
            <a:avLst/>
          </a:prstGeom>
        </xdr:spPr>
      </xdr:pic>
      <xdr:pic macro="[0]!Menu_Purchase">
        <xdr:nvPicPr>
          <xdr:cNvPr id="15" name="Graphic 14" descr="Receipt outline" hidden="1">
            <a:extLst>
              <a:ext uri="{FF2B5EF4-FFF2-40B4-BE49-F238E27FC236}">
                <a16:creationId xmlns:a16="http://schemas.microsoft.com/office/drawing/2014/main" id="{234714CE-0070-9EDB-6D83-1AF7D6D47E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637645" y="3473002"/>
            <a:ext cx="556871" cy="553946"/>
          </a:xfrm>
          <a:prstGeom prst="rect">
            <a:avLst/>
          </a:prstGeom>
        </xdr:spPr>
      </xdr:pic>
      <xdr:pic macro="[0]!Menu_IncomeExpense">
        <xdr:nvPicPr>
          <xdr:cNvPr id="17" name="Graphic 16" descr="Transfer1 outline" hidden="1">
            <a:extLst>
              <a:ext uri="{FF2B5EF4-FFF2-40B4-BE49-F238E27FC236}">
                <a16:creationId xmlns:a16="http://schemas.microsoft.com/office/drawing/2014/main" id="{789F85FC-38C1-946A-A853-D32CA5F487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528173" y="2118909"/>
            <a:ext cx="728217" cy="724392"/>
          </a:xfrm>
          <a:prstGeom prst="rect">
            <a:avLst/>
          </a:prstGeom>
        </xdr:spPr>
      </xdr:pic>
      <xdr:pic macro="[0]!Menu_Invoice">
        <xdr:nvPicPr>
          <xdr:cNvPr id="19" name="Graphic 18" descr="Bank check outline" hidden="1">
            <a:extLst>
              <a:ext uri="{FF2B5EF4-FFF2-40B4-BE49-F238E27FC236}">
                <a16:creationId xmlns:a16="http://schemas.microsoft.com/office/drawing/2014/main" id="{72946C6A-188A-E465-3FA0-320E579A8B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488636" y="2166255"/>
            <a:ext cx="652063" cy="648638"/>
          </a:xfrm>
          <a:prstGeom prst="rect">
            <a:avLst/>
          </a:prstGeom>
        </xdr:spPr>
      </xdr:pic>
      <xdr:sp macro="" textlink="">
        <xdr:nvSpPr>
          <xdr:cNvPr id="31" name="TextBox 30" hidden="1">
            <a:extLst>
              <a:ext uri="{FF2B5EF4-FFF2-40B4-BE49-F238E27FC236}">
                <a16:creationId xmlns:a16="http://schemas.microsoft.com/office/drawing/2014/main" id="{42C59F85-93AD-06B9-2B98-8A1C5F9E17DE}"/>
              </a:ext>
            </a:extLst>
          </xdr:cNvPr>
          <xdr:cNvSpPr txBox="1"/>
        </xdr:nvSpPr>
        <xdr:spPr>
          <a:xfrm>
            <a:off x="2875624" y="1650185"/>
            <a:ext cx="1166098" cy="710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bg1"/>
                </a:solidFill>
              </a:rPr>
              <a:t>INCOME</a:t>
            </a:r>
            <a:r>
              <a:rPr lang="en-US" sz="1600" b="1" baseline="0">
                <a:solidFill>
                  <a:schemeClr val="bg1"/>
                </a:solidFill>
              </a:rPr>
              <a:t> &amp; EXPENSES</a:t>
            </a:r>
          </a:p>
          <a:p>
            <a:endParaRPr lang="en-US" sz="1100"/>
          </a:p>
        </xdr:txBody>
      </xdr:sp>
      <xdr:sp macro="[0]!Menu_Invoice" textlink="">
        <xdr:nvSpPr>
          <xdr:cNvPr id="33" name="TextBox 32" hidden="1">
            <a:extLst>
              <a:ext uri="{FF2B5EF4-FFF2-40B4-BE49-F238E27FC236}">
                <a16:creationId xmlns:a16="http://schemas.microsoft.com/office/drawing/2014/main" id="{F4CC9CB8-891B-4902-8BFD-D97D27D1AC67}"/>
              </a:ext>
            </a:extLst>
          </xdr:cNvPr>
          <xdr:cNvSpPr txBox="1"/>
        </xdr:nvSpPr>
        <xdr:spPr>
          <a:xfrm>
            <a:off x="4850852" y="1640715"/>
            <a:ext cx="1166098" cy="710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bg1"/>
                </a:solidFill>
              </a:rPr>
              <a:t>INVOICING &amp; SALES</a:t>
            </a:r>
            <a:endParaRPr lang="en-US" sz="1600" b="1" baseline="0">
              <a:solidFill>
                <a:schemeClr val="bg1"/>
              </a:solidFill>
            </a:endParaRPr>
          </a:p>
          <a:p>
            <a:endParaRPr lang="en-US" sz="1100"/>
          </a:p>
        </xdr:txBody>
      </xdr:sp>
      <xdr:sp macro="[0]!Menu_Purchase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67BEB41D-E523-42BC-B93F-A814E1839B71}"/>
              </a:ext>
            </a:extLst>
          </xdr:cNvPr>
          <xdr:cNvSpPr txBox="1"/>
        </xdr:nvSpPr>
        <xdr:spPr>
          <a:xfrm>
            <a:off x="2789951" y="4083763"/>
            <a:ext cx="1518307" cy="710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bg1"/>
                </a:solidFill>
              </a:rPr>
              <a:t>INVENTORY &amp; PURCHASING</a:t>
            </a:r>
            <a:endParaRPr lang="en-US" sz="1600" b="1" baseline="0">
              <a:solidFill>
                <a:schemeClr val="bg1"/>
              </a:solidFill>
            </a:endParaRPr>
          </a:p>
          <a:p>
            <a:endParaRPr lang="en-US" sz="1100"/>
          </a:p>
        </xdr:txBody>
      </xdr:sp>
      <xdr:sp macro="[0]!Menu_Reports" textlink="">
        <xdr:nvSpPr>
          <xdr:cNvPr id="35" name="TextBox 34" hidden="1">
            <a:extLst>
              <a:ext uri="{FF2B5EF4-FFF2-40B4-BE49-F238E27FC236}">
                <a16:creationId xmlns:a16="http://schemas.microsoft.com/office/drawing/2014/main" id="{006698DB-EE4D-4FAC-9F64-D5C957727CCF}"/>
              </a:ext>
            </a:extLst>
          </xdr:cNvPr>
          <xdr:cNvSpPr txBox="1"/>
        </xdr:nvSpPr>
        <xdr:spPr>
          <a:xfrm>
            <a:off x="4669988" y="4164250"/>
            <a:ext cx="1166098" cy="710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bg1"/>
                </a:solidFill>
              </a:rPr>
              <a:t>REPORTS &amp; GRAPHS</a:t>
            </a:r>
            <a:endParaRPr lang="en-US" sz="1600" b="1" baseline="0">
              <a:solidFill>
                <a:schemeClr val="bg1"/>
              </a:solidFill>
            </a:endParaRPr>
          </a:p>
          <a:p>
            <a:endParaRPr lang="en-US" sz="1100"/>
          </a:p>
        </xdr:txBody>
      </xdr:sp>
      <xdr:sp macro="[0]!Menu_IncomeExpense" textlink="">
        <xdr:nvSpPr>
          <xdr:cNvPr id="51" name="TextBox 50" hidden="1">
            <a:extLst>
              <a:ext uri="{FF2B5EF4-FFF2-40B4-BE49-F238E27FC236}">
                <a16:creationId xmlns:a16="http://schemas.microsoft.com/office/drawing/2014/main" id="{7B1110C2-83C3-1D3C-7A90-B73FD791AB04}"/>
              </a:ext>
            </a:extLst>
          </xdr:cNvPr>
          <xdr:cNvSpPr txBox="1"/>
        </xdr:nvSpPr>
        <xdr:spPr>
          <a:xfrm>
            <a:off x="2875624" y="1666060"/>
            <a:ext cx="1166098" cy="710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bg1"/>
                </a:solidFill>
              </a:rPr>
              <a:t>INCOME</a:t>
            </a:r>
            <a:r>
              <a:rPr lang="en-US" sz="1600" b="1" baseline="0">
                <a:solidFill>
                  <a:schemeClr val="bg1"/>
                </a:solidFill>
              </a:rPr>
              <a:t> &amp; EXPENSES</a:t>
            </a:r>
          </a:p>
          <a:p>
            <a:endParaRPr lang="en-US" sz="1100"/>
          </a:p>
        </xdr:txBody>
      </xdr:sp>
    </xdr:grpSp>
    <xdr:clientData/>
  </xdr:twoCellAnchor>
  <xdr:twoCellAnchor>
    <xdr:from>
      <xdr:col>5</xdr:col>
      <xdr:colOff>543190</xdr:colOff>
      <xdr:row>0</xdr:row>
      <xdr:rowOff>15875</xdr:rowOff>
    </xdr:from>
    <xdr:to>
      <xdr:col>13</xdr:col>
      <xdr:colOff>497416</xdr:colOff>
      <xdr:row>7</xdr:row>
      <xdr:rowOff>44450</xdr:rowOff>
    </xdr:to>
    <xdr:grpSp>
      <xdr:nvGrpSpPr>
        <xdr:cNvPr id="3" name="IncomesGrp" hidden="1">
          <a:extLst>
            <a:ext uri="{FF2B5EF4-FFF2-40B4-BE49-F238E27FC236}">
              <a16:creationId xmlns:a16="http://schemas.microsoft.com/office/drawing/2014/main" id="{3EE4C2B8-6F84-8B53-FCE4-4700D08B0581}"/>
            </a:ext>
          </a:extLst>
        </xdr:cNvPr>
        <xdr:cNvGrpSpPr/>
      </xdr:nvGrpSpPr>
      <xdr:grpSpPr>
        <a:xfrm>
          <a:off x="8115566" y="15875"/>
          <a:ext cx="5118892" cy="1653117"/>
          <a:chOff x="8115566" y="15875"/>
          <a:chExt cx="5118892" cy="1653117"/>
        </a:xfrm>
      </xdr:grpSpPr>
      <xdr:grpSp>
        <xdr:nvGrpSpPr>
          <xdr:cNvPr id="38" name="Group 37" hidden="1">
            <a:extLst>
              <a:ext uri="{FF2B5EF4-FFF2-40B4-BE49-F238E27FC236}">
                <a16:creationId xmlns:a16="http://schemas.microsoft.com/office/drawing/2014/main" id="{70DE64BB-FFD6-E736-EC07-0609ECC19D47}"/>
              </a:ext>
            </a:extLst>
          </xdr:cNvPr>
          <xdr:cNvGrpSpPr/>
        </xdr:nvGrpSpPr>
        <xdr:grpSpPr>
          <a:xfrm>
            <a:off x="11694585" y="661461"/>
            <a:ext cx="1539873" cy="412750"/>
            <a:chOff x="13001626" y="740836"/>
            <a:chExt cx="1539874" cy="412750"/>
          </a:xfrm>
        </xdr:grpSpPr>
        <xdr:sp macro="" textlink="">
          <xdr:nvSpPr>
            <xdr:cNvPr id="37" name="Rectangle: Rounded Corners 36" hidden="1">
              <a:extLst>
                <a:ext uri="{FF2B5EF4-FFF2-40B4-BE49-F238E27FC236}">
                  <a16:creationId xmlns:a16="http://schemas.microsoft.com/office/drawing/2014/main" id="{1A882A2A-4C93-2D6C-D039-7FED4FC94E39}"/>
                </a:ext>
              </a:extLst>
            </xdr:cNvPr>
            <xdr:cNvSpPr/>
          </xdr:nvSpPr>
          <xdr:spPr>
            <a:xfrm>
              <a:off x="13028084" y="793750"/>
              <a:ext cx="1513416" cy="306917"/>
            </a:xfrm>
            <a:prstGeom prst="roundRect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Transaction</a:t>
              </a:r>
            </a:p>
          </xdr:txBody>
        </xdr:sp>
        <xdr:pic>
          <xdr:nvPicPr>
            <xdr:cNvPr id="39" name="Graphic 38" descr="Checkbox Checked with solid fill" hidden="1">
              <a:extLst>
                <a:ext uri="{FF2B5EF4-FFF2-40B4-BE49-F238E27FC236}">
                  <a16:creationId xmlns:a16="http://schemas.microsoft.com/office/drawing/2014/main" id="{62FF39AB-8624-4F68-A80D-7B6DE71BDE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3001626" y="740836"/>
              <a:ext cx="412750" cy="412750"/>
            </a:xfrm>
            <a:prstGeom prst="rect">
              <a:avLst/>
            </a:prstGeom>
          </xdr:spPr>
        </xdr:pic>
      </xdr:grpSp>
      <xdr:pic>
        <xdr:nvPicPr>
          <xdr:cNvPr id="41" name="Graphic 40" descr="Transfer1 outline" hidden="1">
            <a:extLst>
              <a:ext uri="{FF2B5EF4-FFF2-40B4-BE49-F238E27FC236}">
                <a16:creationId xmlns:a16="http://schemas.microsoft.com/office/drawing/2014/main" id="{E3A32C60-E1D0-4FEA-B579-4F5991BE1A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15566" y="15875"/>
            <a:ext cx="531019" cy="528231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67" name="Group 66" hidden="1">
            <a:extLst>
              <a:ext uri="{FF2B5EF4-FFF2-40B4-BE49-F238E27FC236}">
                <a16:creationId xmlns:a16="http://schemas.microsoft.com/office/drawing/2014/main" id="{36B23340-1A52-47AB-974A-0B14EE930D20}"/>
              </a:ext>
            </a:extLst>
          </xdr:cNvPr>
          <xdr:cNvGrpSpPr/>
        </xdr:nvGrpSpPr>
        <xdr:grpSpPr>
          <a:xfrm>
            <a:off x="12215285" y="1134533"/>
            <a:ext cx="534457" cy="534459"/>
            <a:chOff x="8546042" y="2185458"/>
            <a:chExt cx="915458" cy="910167"/>
          </a:xfrm>
        </xdr:grpSpPr>
        <xdr:sp macro="[0]!Menu_Home" textlink="">
          <xdr:nvSpPr>
            <xdr:cNvPr id="68" name="Flowchart: Connector 67" hidden="1">
              <a:extLst>
                <a:ext uri="{FF2B5EF4-FFF2-40B4-BE49-F238E27FC236}">
                  <a16:creationId xmlns:a16="http://schemas.microsoft.com/office/drawing/2014/main" id="{EB5300E5-018E-09CC-9241-E0E40F3421FD}"/>
                </a:ext>
              </a:extLst>
            </xdr:cNvPr>
            <xdr:cNvSpPr/>
          </xdr:nvSpPr>
          <xdr:spPr>
            <a:xfrm>
              <a:off x="8546042" y="2185458"/>
              <a:ext cx="915458" cy="910167"/>
            </a:xfrm>
            <a:prstGeom prst="flowChartConnector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69" name="Graphic 68" descr="Home with solid fill" hidden="1">
              <a:extLst>
                <a:ext uri="{FF2B5EF4-FFF2-40B4-BE49-F238E27FC236}">
                  <a16:creationId xmlns:a16="http://schemas.microsoft.com/office/drawing/2014/main" id="{5534AC00-4C42-61B2-F675-613E69A5FE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8714848" y="2277534"/>
              <a:ext cx="599856" cy="59584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945356</xdr:colOff>
      <xdr:row>0</xdr:row>
      <xdr:rowOff>42333</xdr:rowOff>
    </xdr:from>
    <xdr:to>
      <xdr:col>22</xdr:col>
      <xdr:colOff>227541</xdr:colOff>
      <xdr:row>7</xdr:row>
      <xdr:rowOff>84668</xdr:rowOff>
    </xdr:to>
    <xdr:grpSp>
      <xdr:nvGrpSpPr>
        <xdr:cNvPr id="4" name="InvoiceGrp" hidden="1">
          <a:extLst>
            <a:ext uri="{FF2B5EF4-FFF2-40B4-BE49-F238E27FC236}">
              <a16:creationId xmlns:a16="http://schemas.microsoft.com/office/drawing/2014/main" id="{F9D9A769-E94B-AB68-C3A5-904CA4214BA1}"/>
            </a:ext>
          </a:extLst>
        </xdr:cNvPr>
        <xdr:cNvGrpSpPr/>
      </xdr:nvGrpSpPr>
      <xdr:grpSpPr>
        <a:xfrm>
          <a:off x="14973565" y="42333"/>
          <a:ext cx="4764352" cy="1666877"/>
          <a:chOff x="14973565" y="42333"/>
          <a:chExt cx="4764352" cy="1666877"/>
        </a:xfrm>
      </xdr:grpSpPr>
      <xdr:pic>
        <xdr:nvPicPr>
          <xdr:cNvPr id="42" name="Graphic 41" descr="Bank check outline" hidden="1">
            <a:extLst>
              <a:ext uri="{FF2B5EF4-FFF2-40B4-BE49-F238E27FC236}">
                <a16:creationId xmlns:a16="http://schemas.microsoft.com/office/drawing/2014/main" id="{915198FE-9E36-4C7B-AA9B-53F60B3875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973565" y="42333"/>
            <a:ext cx="504561" cy="501912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CE5E436C-6CF8-E107-E1FF-1F1AF0222FD9}"/>
              </a:ext>
            </a:extLst>
          </xdr:cNvPr>
          <xdr:cNvGrpSpPr/>
        </xdr:nvGrpSpPr>
        <xdr:grpSpPr>
          <a:xfrm>
            <a:off x="18461568" y="665694"/>
            <a:ext cx="1276349" cy="412750"/>
            <a:chOff x="16318443" y="713319"/>
            <a:chExt cx="1276349" cy="412750"/>
          </a:xfrm>
        </xdr:grpSpPr>
        <xdr:sp macro="" textlink="">
          <xdr:nvSpPr>
            <xdr:cNvPr id="47" name="Rectangle: Rounded Corners 46" hidden="1">
              <a:extLst>
                <a:ext uri="{FF2B5EF4-FFF2-40B4-BE49-F238E27FC236}">
                  <a16:creationId xmlns:a16="http://schemas.microsoft.com/office/drawing/2014/main" id="{8A2B68F0-0E0B-0FEC-3320-5148146A0C32}"/>
                </a:ext>
              </a:extLst>
            </xdr:cNvPr>
            <xdr:cNvSpPr/>
          </xdr:nvSpPr>
          <xdr:spPr>
            <a:xfrm>
              <a:off x="16344901" y="766233"/>
              <a:ext cx="1249891" cy="306917"/>
            </a:xfrm>
            <a:prstGeom prst="roundRect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Save Invoice</a:t>
              </a:r>
            </a:p>
          </xdr:txBody>
        </xdr:sp>
        <xdr:pic>
          <xdr:nvPicPr>
            <xdr:cNvPr id="48" name="Graphic 47" descr="Checkbox Checked with solid fill" hidden="1">
              <a:extLst>
                <a:ext uri="{FF2B5EF4-FFF2-40B4-BE49-F238E27FC236}">
                  <a16:creationId xmlns:a16="http://schemas.microsoft.com/office/drawing/2014/main" id="{01D31610-1D90-64B7-5518-3D23AB4B87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6318443" y="713319"/>
              <a:ext cx="412750" cy="412750"/>
            </a:xfrm>
            <a:prstGeom prst="rect">
              <a:avLst/>
            </a:prstGeom>
          </xdr:spPr>
        </xdr:pic>
      </xdr:grpSp>
      <xdr:grpSp>
        <xdr:nvGrpSpPr>
          <xdr:cNvPr id="70" name="Group 69" hidden="1">
            <a:extLst>
              <a:ext uri="{FF2B5EF4-FFF2-40B4-BE49-F238E27FC236}">
                <a16:creationId xmlns:a16="http://schemas.microsoft.com/office/drawing/2014/main" id="{13566904-C083-4CE0-9262-1A15991C195C}"/>
              </a:ext>
            </a:extLst>
          </xdr:cNvPr>
          <xdr:cNvGrpSpPr/>
        </xdr:nvGrpSpPr>
        <xdr:grpSpPr>
          <a:xfrm>
            <a:off x="18912417" y="1174751"/>
            <a:ext cx="534457" cy="534459"/>
            <a:chOff x="8546042" y="2185458"/>
            <a:chExt cx="915458" cy="910167"/>
          </a:xfrm>
        </xdr:grpSpPr>
        <xdr:sp macro="[0]!Menu_Home" textlink="">
          <xdr:nvSpPr>
            <xdr:cNvPr id="71" name="Flowchart: Connector 70" hidden="1">
              <a:extLst>
                <a:ext uri="{FF2B5EF4-FFF2-40B4-BE49-F238E27FC236}">
                  <a16:creationId xmlns:a16="http://schemas.microsoft.com/office/drawing/2014/main" id="{0C417886-F95D-6A8A-223E-287AC049362D}"/>
                </a:ext>
              </a:extLst>
            </xdr:cNvPr>
            <xdr:cNvSpPr/>
          </xdr:nvSpPr>
          <xdr:spPr>
            <a:xfrm>
              <a:off x="8546042" y="2185458"/>
              <a:ext cx="915458" cy="910167"/>
            </a:xfrm>
            <a:prstGeom prst="flowChartConnector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72" name="Graphic 71" descr="Home with solid fill" hidden="1">
              <a:extLst>
                <a:ext uri="{FF2B5EF4-FFF2-40B4-BE49-F238E27FC236}">
                  <a16:creationId xmlns:a16="http://schemas.microsoft.com/office/drawing/2014/main" id="{DB010C5E-65B4-84B6-1E2D-4C7E399C9B6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8714848" y="2277534"/>
              <a:ext cx="599856" cy="59584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25</xdr:col>
      <xdr:colOff>172770</xdr:colOff>
      <xdr:row>0</xdr:row>
      <xdr:rowOff>73554</xdr:rowOff>
    </xdr:from>
    <xdr:to>
      <xdr:col>31</xdr:col>
      <xdr:colOff>402166</xdr:colOff>
      <xdr:row>7</xdr:row>
      <xdr:rowOff>37043</xdr:rowOff>
    </xdr:to>
    <xdr:grpSp>
      <xdr:nvGrpSpPr>
        <xdr:cNvPr id="8" name="PurchaseGrp" hidden="1">
          <a:extLst>
            <a:ext uri="{FF2B5EF4-FFF2-40B4-BE49-F238E27FC236}">
              <a16:creationId xmlns:a16="http://schemas.microsoft.com/office/drawing/2014/main" id="{100020B9-5523-6D16-3F74-0105D96784C8}"/>
            </a:ext>
          </a:extLst>
        </xdr:cNvPr>
        <xdr:cNvGrpSpPr/>
      </xdr:nvGrpSpPr>
      <xdr:grpSpPr>
        <a:xfrm>
          <a:off x="21953270" y="73554"/>
          <a:ext cx="4616188" cy="1588031"/>
          <a:chOff x="21953270" y="73554"/>
          <a:chExt cx="4616188" cy="1588031"/>
        </a:xfrm>
      </xdr:grpSpPr>
      <xdr:pic>
        <xdr:nvPicPr>
          <xdr:cNvPr id="43" name="Graphic 42" descr="Receipt outline" hidden="1">
            <a:extLst>
              <a:ext uri="{FF2B5EF4-FFF2-40B4-BE49-F238E27FC236}">
                <a16:creationId xmlns:a16="http://schemas.microsoft.com/office/drawing/2014/main" id="{40A837B3-E137-42CE-A734-07D9ED86D0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1953270" y="73554"/>
            <a:ext cx="414606" cy="412427"/>
          </a:xfrm>
          <a:prstGeom prst="rect">
            <a:avLst/>
          </a:prstGeom>
        </xdr:spPr>
      </xdr:pic>
      <xdr:grpSp>
        <xdr:nvGrpSpPr>
          <xdr:cNvPr id="56" name="Group 55" hidden="1">
            <a:extLst>
              <a:ext uri="{FF2B5EF4-FFF2-40B4-BE49-F238E27FC236}">
                <a16:creationId xmlns:a16="http://schemas.microsoft.com/office/drawing/2014/main" id="{3FAA9CE9-81CD-5F7D-9F65-66E406416352}"/>
              </a:ext>
            </a:extLst>
          </xdr:cNvPr>
          <xdr:cNvGrpSpPr/>
        </xdr:nvGrpSpPr>
        <xdr:grpSpPr>
          <a:xfrm>
            <a:off x="25137536" y="637120"/>
            <a:ext cx="1431922" cy="412750"/>
            <a:chOff x="22915035" y="711203"/>
            <a:chExt cx="1431923" cy="412750"/>
          </a:xfrm>
        </xdr:grpSpPr>
        <xdr:sp macro="" textlink="">
          <xdr:nvSpPr>
            <xdr:cNvPr id="53" name="Rectangle: Rounded Corners 52" hidden="1">
              <a:extLst>
                <a:ext uri="{FF2B5EF4-FFF2-40B4-BE49-F238E27FC236}">
                  <a16:creationId xmlns:a16="http://schemas.microsoft.com/office/drawing/2014/main" id="{59F60A6A-EC3F-A7E7-611E-B66B858072E9}"/>
                </a:ext>
              </a:extLst>
            </xdr:cNvPr>
            <xdr:cNvSpPr/>
          </xdr:nvSpPr>
          <xdr:spPr>
            <a:xfrm>
              <a:off x="22941493" y="764117"/>
              <a:ext cx="1405465" cy="306917"/>
            </a:xfrm>
            <a:prstGeom prst="roundRect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Save Purchase</a:t>
              </a:r>
            </a:p>
          </xdr:txBody>
        </xdr:sp>
        <xdr:pic>
          <xdr:nvPicPr>
            <xdr:cNvPr id="54" name="Graphic 53" descr="Checkbox Checked with solid fill" hidden="1">
              <a:extLst>
                <a:ext uri="{FF2B5EF4-FFF2-40B4-BE49-F238E27FC236}">
                  <a16:creationId xmlns:a16="http://schemas.microsoft.com/office/drawing/2014/main" id="{0D72717C-E157-7786-2B49-AE3009511C8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22915035" y="711203"/>
              <a:ext cx="412750" cy="412750"/>
            </a:xfrm>
            <a:prstGeom prst="rect">
              <a:avLst/>
            </a:prstGeom>
          </xdr:spPr>
        </xdr:pic>
      </xdr:grpSp>
      <xdr:grpSp>
        <xdr:nvGrpSpPr>
          <xdr:cNvPr id="76" name="Group 75" hidden="1">
            <a:extLst>
              <a:ext uri="{FF2B5EF4-FFF2-40B4-BE49-F238E27FC236}">
                <a16:creationId xmlns:a16="http://schemas.microsoft.com/office/drawing/2014/main" id="{C91F94BC-C194-413D-9DAC-78D8AF5AAC58}"/>
              </a:ext>
            </a:extLst>
          </xdr:cNvPr>
          <xdr:cNvGrpSpPr/>
        </xdr:nvGrpSpPr>
        <xdr:grpSpPr>
          <a:xfrm>
            <a:off x="25632834" y="1127126"/>
            <a:ext cx="534458" cy="534459"/>
            <a:chOff x="8546042" y="2185458"/>
            <a:chExt cx="915458" cy="910167"/>
          </a:xfrm>
        </xdr:grpSpPr>
        <xdr:sp macro="[0]!Menu_Home" textlink="">
          <xdr:nvSpPr>
            <xdr:cNvPr id="77" name="Flowchart: Connector 76" hidden="1">
              <a:extLst>
                <a:ext uri="{FF2B5EF4-FFF2-40B4-BE49-F238E27FC236}">
                  <a16:creationId xmlns:a16="http://schemas.microsoft.com/office/drawing/2014/main" id="{BD70B131-1647-125D-D371-1351B4B160AB}"/>
                </a:ext>
              </a:extLst>
            </xdr:cNvPr>
            <xdr:cNvSpPr/>
          </xdr:nvSpPr>
          <xdr:spPr>
            <a:xfrm>
              <a:off x="8546042" y="2185458"/>
              <a:ext cx="915458" cy="910167"/>
            </a:xfrm>
            <a:prstGeom prst="flowChartConnector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78" name="Graphic 77" descr="Home with solid fill" hidden="1">
              <a:extLst>
                <a:ext uri="{FF2B5EF4-FFF2-40B4-BE49-F238E27FC236}">
                  <a16:creationId xmlns:a16="http://schemas.microsoft.com/office/drawing/2014/main" id="{B8A2BCEA-7351-3797-ED09-B8493FBA651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8714848" y="2277534"/>
              <a:ext cx="599856" cy="59584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33</xdr:col>
      <xdr:colOff>1031875</xdr:colOff>
      <xdr:row>0</xdr:row>
      <xdr:rowOff>74083</xdr:rowOff>
    </xdr:from>
    <xdr:to>
      <xdr:col>40</xdr:col>
      <xdr:colOff>111124</xdr:colOff>
      <xdr:row>7</xdr:row>
      <xdr:rowOff>15875</xdr:rowOff>
    </xdr:to>
    <xdr:grpSp>
      <xdr:nvGrpSpPr>
        <xdr:cNvPr id="9" name="ReportsGrp" hidden="1">
          <a:extLst>
            <a:ext uri="{FF2B5EF4-FFF2-40B4-BE49-F238E27FC236}">
              <a16:creationId xmlns:a16="http://schemas.microsoft.com/office/drawing/2014/main" id="{2C74FD46-C153-9C16-C942-6ABC6700294A}"/>
            </a:ext>
          </a:extLst>
        </xdr:cNvPr>
        <xdr:cNvGrpSpPr/>
      </xdr:nvGrpSpPr>
      <xdr:grpSpPr>
        <a:xfrm>
          <a:off x="28490334" y="74083"/>
          <a:ext cx="4339166" cy="1566334"/>
          <a:chOff x="28490334" y="74083"/>
          <a:chExt cx="4339166" cy="1566334"/>
        </a:xfrm>
      </xdr:grpSpPr>
      <xdr:pic>
        <xdr:nvPicPr>
          <xdr:cNvPr id="44" name="Graphic 43" descr="Presentation with bar chart outline" hidden="1">
            <a:extLst>
              <a:ext uri="{FF2B5EF4-FFF2-40B4-BE49-F238E27FC236}">
                <a16:creationId xmlns:a16="http://schemas.microsoft.com/office/drawing/2014/main" id="{B4ADD720-61AB-438C-91CB-EAFCEB42EE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8490334" y="74083"/>
            <a:ext cx="549136" cy="546251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57" name="Group 56" hidden="1">
            <a:extLst>
              <a:ext uri="{FF2B5EF4-FFF2-40B4-BE49-F238E27FC236}">
                <a16:creationId xmlns:a16="http://schemas.microsoft.com/office/drawing/2014/main" id="{ED8D2D7B-B266-60FB-FD87-627CCA99CF79}"/>
              </a:ext>
            </a:extLst>
          </xdr:cNvPr>
          <xdr:cNvGrpSpPr/>
        </xdr:nvGrpSpPr>
        <xdr:grpSpPr>
          <a:xfrm>
            <a:off x="31806094" y="691092"/>
            <a:ext cx="1023406" cy="306958"/>
            <a:chOff x="30652510" y="696384"/>
            <a:chExt cx="1023407" cy="306958"/>
          </a:xfrm>
        </xdr:grpSpPr>
        <xdr:sp macro="" textlink="">
          <xdr:nvSpPr>
            <xdr:cNvPr id="50" name="Rectangle: Rounded Corners 49" hidden="1">
              <a:extLst>
                <a:ext uri="{FF2B5EF4-FFF2-40B4-BE49-F238E27FC236}">
                  <a16:creationId xmlns:a16="http://schemas.microsoft.com/office/drawing/2014/main" id="{3E079BEA-F8CB-FF9C-A322-E942FA937F2B}"/>
                </a:ext>
              </a:extLst>
            </xdr:cNvPr>
            <xdr:cNvSpPr/>
          </xdr:nvSpPr>
          <xdr:spPr>
            <a:xfrm>
              <a:off x="30652510" y="696384"/>
              <a:ext cx="1023407" cy="306917"/>
            </a:xfrm>
            <a:prstGeom prst="roundRect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Refresh</a:t>
              </a:r>
            </a:p>
          </xdr:txBody>
        </xdr:sp>
        <xdr:pic>
          <xdr:nvPicPr>
            <xdr:cNvPr id="28" name="Graphic 27" descr="Recycle with solid fill" hidden="1">
              <a:extLst>
                <a:ext uri="{FF2B5EF4-FFF2-40B4-BE49-F238E27FC236}">
                  <a16:creationId xmlns:a16="http://schemas.microsoft.com/office/drawing/2014/main" id="{0A410B9D-F429-D58E-8B24-E914316D06B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30683202" y="721258"/>
              <a:ext cx="283631" cy="282084"/>
            </a:xfrm>
            <a:prstGeom prst="rect">
              <a:avLst/>
            </a:prstGeom>
          </xdr:spPr>
        </xdr:pic>
      </xdr:grpSp>
      <xdr:grpSp>
        <xdr:nvGrpSpPr>
          <xdr:cNvPr id="82" name="Group 81" hidden="1">
            <a:extLst>
              <a:ext uri="{FF2B5EF4-FFF2-40B4-BE49-F238E27FC236}">
                <a16:creationId xmlns:a16="http://schemas.microsoft.com/office/drawing/2014/main" id="{654B7D1E-390F-4EB1-A5F5-8CCCB8A7824C}"/>
              </a:ext>
            </a:extLst>
          </xdr:cNvPr>
          <xdr:cNvGrpSpPr/>
        </xdr:nvGrpSpPr>
        <xdr:grpSpPr>
          <a:xfrm>
            <a:off x="32056917" y="1105958"/>
            <a:ext cx="534457" cy="534459"/>
            <a:chOff x="8546042" y="2185458"/>
            <a:chExt cx="915458" cy="910167"/>
          </a:xfrm>
        </xdr:grpSpPr>
        <xdr:sp macro="[0]!Menu_Home" textlink="">
          <xdr:nvSpPr>
            <xdr:cNvPr id="83" name="Flowchart: Connector 82" hidden="1">
              <a:extLst>
                <a:ext uri="{FF2B5EF4-FFF2-40B4-BE49-F238E27FC236}">
                  <a16:creationId xmlns:a16="http://schemas.microsoft.com/office/drawing/2014/main" id="{5F8B8BBF-E6AD-FFF6-61FB-E3B779C8CA3F}"/>
                </a:ext>
              </a:extLst>
            </xdr:cNvPr>
            <xdr:cNvSpPr/>
          </xdr:nvSpPr>
          <xdr:spPr>
            <a:xfrm>
              <a:off x="8546042" y="2185458"/>
              <a:ext cx="915458" cy="910167"/>
            </a:xfrm>
            <a:prstGeom prst="flowChartConnector">
              <a:avLst/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84" name="Graphic 83" descr="Home with solid fill" hidden="1">
              <a:extLst>
                <a:ext uri="{FF2B5EF4-FFF2-40B4-BE49-F238E27FC236}">
                  <a16:creationId xmlns:a16="http://schemas.microsoft.com/office/drawing/2014/main" id="{179F680E-7787-DE68-2F2C-3FC306A15D1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8714848" y="2277534"/>
              <a:ext cx="599856" cy="595841"/>
            </a:xfrm>
            <a:prstGeom prst="rect">
              <a:avLst/>
            </a:prstGeom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google.com/" TargetMode="External"/><Relationship Id="rId2" Type="http://schemas.openxmlformats.org/officeDocument/2006/relationships/hyperlink" Target="http://www.google.com/" TargetMode="External"/><Relationship Id="rId1" Type="http://schemas.openxmlformats.org/officeDocument/2006/relationships/hyperlink" Target="http://www.google.com/" TargetMode="External"/><Relationship Id="rId4" Type="http://schemas.openxmlformats.org/officeDocument/2006/relationships/hyperlink" Target="http://www.googl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AF2A-F416-46FB-A9F2-E1EDDE5FBD1D}">
  <sheetPr codeName="Sheet1"/>
  <dimension ref="A1:BB100"/>
  <sheetViews>
    <sheetView tabSelected="1" zoomScale="90" zoomScaleNormal="90" workbookViewId="0">
      <selection activeCell="C6" sqref="C6"/>
    </sheetView>
  </sheetViews>
  <sheetFormatPr defaultRowHeight="14.25" x14ac:dyDescent="0.45"/>
  <cols>
    <col min="1" max="1" width="11.33203125" bestFit="1" customWidth="1"/>
    <col min="3" max="3" width="67.53125" customWidth="1"/>
    <col min="4" max="15" width="9.06640625" customWidth="1"/>
    <col min="16" max="16" width="13.53125" customWidth="1"/>
    <col min="17" max="17" width="15.73046875" customWidth="1"/>
    <col min="18" max="18" width="9.06640625" customWidth="1"/>
    <col min="19" max="19" width="11.33203125" customWidth="1"/>
    <col min="20" max="24" width="9.06640625" customWidth="1"/>
    <col min="25" max="25" width="13.6640625" customWidth="1"/>
    <col min="26" max="26" width="16.19921875" customWidth="1"/>
    <col min="27" max="33" width="9.06640625" customWidth="1"/>
    <col min="34" max="34" width="19.265625" customWidth="1"/>
    <col min="35" max="37" width="9.06640625" customWidth="1"/>
    <col min="38" max="38" width="9.19921875" customWidth="1"/>
    <col min="39" max="41" width="9.06640625" customWidth="1"/>
  </cols>
  <sheetData>
    <row r="1" spans="1:54" ht="42.75" customHeight="1" x14ac:dyDescent="0.45">
      <c r="A1" s="1"/>
      <c r="B1" s="1"/>
      <c r="C1" s="49" t="s">
        <v>121</v>
      </c>
      <c r="D1" s="41"/>
      <c r="E1" s="41"/>
      <c r="F1" s="21"/>
      <c r="G1" s="42" t="s">
        <v>122</v>
      </c>
      <c r="H1" s="41"/>
      <c r="I1" s="41"/>
      <c r="J1" s="41"/>
      <c r="K1" s="41"/>
      <c r="L1" s="41"/>
      <c r="M1" s="24"/>
      <c r="N1" s="21"/>
      <c r="O1" s="21"/>
      <c r="P1" s="21"/>
      <c r="Q1" s="42" t="s">
        <v>123</v>
      </c>
      <c r="R1" s="41"/>
      <c r="S1" s="41"/>
      <c r="T1" s="41"/>
      <c r="U1" s="41"/>
      <c r="V1" s="24"/>
      <c r="W1" s="21"/>
      <c r="X1" s="21"/>
      <c r="Y1" s="21"/>
      <c r="Z1" s="42" t="s">
        <v>124</v>
      </c>
      <c r="AA1" s="41"/>
      <c r="AB1" s="41"/>
      <c r="AC1" s="41"/>
      <c r="AD1" s="41"/>
      <c r="AE1" s="24"/>
      <c r="AF1" s="21"/>
      <c r="AG1" s="21"/>
      <c r="AH1" s="21"/>
      <c r="AI1" s="42" t="s">
        <v>125</v>
      </c>
      <c r="AJ1" s="42"/>
      <c r="AK1" s="42"/>
      <c r="AL1" s="42"/>
      <c r="AM1" s="42"/>
      <c r="AN1" s="40"/>
      <c r="AO1" s="24"/>
      <c r="AP1" s="41"/>
      <c r="AQ1" s="41"/>
      <c r="AR1" s="41"/>
      <c r="AS1" s="41"/>
      <c r="AT1" s="41"/>
      <c r="AU1" s="24"/>
      <c r="AV1" s="21"/>
      <c r="AW1" s="21"/>
      <c r="AX1" s="21"/>
      <c r="AY1" s="21"/>
      <c r="AZ1" s="21"/>
      <c r="BA1" s="21"/>
      <c r="BB1" s="21"/>
    </row>
    <row r="2" spans="1:54" x14ac:dyDescent="0.45">
      <c r="A2" s="1"/>
      <c r="B2" s="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</row>
    <row r="3" spans="1:54" x14ac:dyDescent="0.45">
      <c r="A3" s="1"/>
      <c r="B3" s="1"/>
      <c r="C3" s="23"/>
      <c r="D3" s="23"/>
      <c r="E3" s="23"/>
      <c r="F3" s="23"/>
      <c r="G3" s="23"/>
      <c r="H3" s="27" t="s">
        <v>6</v>
      </c>
      <c r="I3" s="28"/>
      <c r="J3" s="27" t="s">
        <v>46</v>
      </c>
      <c r="K3" s="28"/>
      <c r="L3" s="23"/>
      <c r="M3" s="23"/>
      <c r="N3" s="23"/>
      <c r="O3" s="23"/>
      <c r="P3" s="27" t="s">
        <v>126</v>
      </c>
      <c r="Q3" s="43"/>
      <c r="R3" s="43"/>
      <c r="S3" s="27" t="s">
        <v>6</v>
      </c>
      <c r="U3" s="23"/>
      <c r="V3" s="23"/>
      <c r="W3" s="23"/>
      <c r="X3" s="23"/>
      <c r="Y3" s="27" t="s">
        <v>126</v>
      </c>
      <c r="Z3" s="43"/>
      <c r="AA3" s="43"/>
      <c r="AB3" s="27" t="s">
        <v>6</v>
      </c>
      <c r="AD3" s="23"/>
      <c r="AE3" s="23"/>
      <c r="AF3" s="23"/>
      <c r="AG3" s="23"/>
      <c r="AH3" s="23"/>
      <c r="AI3" s="27" t="s">
        <v>133</v>
      </c>
      <c r="AJ3" s="3">
        <v>44562</v>
      </c>
      <c r="AK3" s="27" t="s">
        <v>134</v>
      </c>
      <c r="AL3" s="3">
        <v>44591</v>
      </c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</row>
    <row r="4" spans="1:54" x14ac:dyDescent="0.45">
      <c r="A4" s="2" t="s">
        <v>0</v>
      </c>
      <c r="B4" s="2"/>
      <c r="C4" s="23"/>
      <c r="D4" s="23"/>
      <c r="E4" s="23"/>
      <c r="F4" s="23"/>
      <c r="G4" s="23"/>
      <c r="H4" s="25"/>
      <c r="I4" s="23"/>
      <c r="J4" s="25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5" t="s">
        <v>130</v>
      </c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</row>
    <row r="5" spans="1:54" x14ac:dyDescent="0.45">
      <c r="A5" s="2" t="s">
        <v>1</v>
      </c>
      <c r="B5" s="2">
        <v>4</v>
      </c>
      <c r="C5" s="23"/>
      <c r="D5" s="23"/>
      <c r="E5" s="23"/>
      <c r="F5" s="23"/>
      <c r="G5" s="23"/>
      <c r="H5" s="27" t="s">
        <v>107</v>
      </c>
      <c r="I5" s="28"/>
      <c r="J5" s="27" t="s">
        <v>108</v>
      </c>
      <c r="K5" s="28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5" t="s">
        <v>131</v>
      </c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</row>
    <row r="6" spans="1:54" x14ac:dyDescent="0.45">
      <c r="A6" s="2" t="s">
        <v>2</v>
      </c>
      <c r="B6" s="2">
        <v>7</v>
      </c>
      <c r="C6" s="23"/>
      <c r="D6" s="23"/>
      <c r="E6" s="23"/>
      <c r="F6" s="23"/>
      <c r="G6" s="23"/>
      <c r="H6" s="25"/>
      <c r="I6" s="23"/>
      <c r="J6" s="26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5" t="s">
        <v>132</v>
      </c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</row>
    <row r="7" spans="1:54" x14ac:dyDescent="0.45">
      <c r="A7" s="2" t="s">
        <v>3</v>
      </c>
      <c r="B7" s="2">
        <v>4</v>
      </c>
      <c r="C7" s="23"/>
      <c r="D7" s="23"/>
      <c r="E7" s="23"/>
      <c r="F7" s="23"/>
      <c r="G7" s="23"/>
      <c r="H7" s="27" t="s">
        <v>109</v>
      </c>
      <c r="I7" s="46"/>
      <c r="J7" s="47"/>
      <c r="K7" s="48"/>
      <c r="L7" s="23"/>
      <c r="M7" s="23"/>
      <c r="N7" s="23"/>
      <c r="O7" s="23"/>
      <c r="P7" s="23"/>
      <c r="Q7" s="45" t="s">
        <v>128</v>
      </c>
      <c r="R7" s="45"/>
      <c r="S7" s="44"/>
      <c r="T7" s="44"/>
      <c r="U7" s="23"/>
      <c r="V7" s="23"/>
      <c r="W7" s="23"/>
      <c r="X7" s="23"/>
      <c r="Y7" s="23"/>
      <c r="Z7" s="45" t="s">
        <v>129</v>
      </c>
      <c r="AA7" s="45"/>
      <c r="AB7" s="44"/>
      <c r="AC7" s="44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</row>
    <row r="8" spans="1:54" x14ac:dyDescent="0.45">
      <c r="A8" s="1"/>
      <c r="B8" s="1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9"/>
      <c r="O8" s="29"/>
      <c r="P8" s="30" t="s">
        <v>43</v>
      </c>
      <c r="Q8" s="30" t="s">
        <v>44</v>
      </c>
      <c r="R8" s="30" t="s">
        <v>127</v>
      </c>
      <c r="S8" s="30" t="s">
        <v>46</v>
      </c>
      <c r="T8" s="30" t="s">
        <v>7</v>
      </c>
      <c r="U8" s="23"/>
      <c r="V8" s="23"/>
      <c r="W8" s="23"/>
      <c r="X8" s="23"/>
      <c r="Y8" s="30" t="s">
        <v>43</v>
      </c>
      <c r="Z8" s="30" t="s">
        <v>44</v>
      </c>
      <c r="AA8" s="30" t="s">
        <v>127</v>
      </c>
      <c r="AB8" s="30" t="s">
        <v>46</v>
      </c>
      <c r="AC8" s="30" t="s">
        <v>7</v>
      </c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</row>
    <row r="9" spans="1:54" x14ac:dyDescent="0.45">
      <c r="A9" s="1"/>
      <c r="B9" s="1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31"/>
      <c r="Q9" s="32"/>
      <c r="R9" s="32"/>
      <c r="S9" s="32"/>
      <c r="T9" s="33"/>
      <c r="U9" s="23"/>
      <c r="V9" s="23"/>
      <c r="W9" s="23"/>
      <c r="X9" s="23"/>
      <c r="Y9" s="31"/>
      <c r="Z9" s="32"/>
      <c r="AA9" s="32"/>
      <c r="AB9" s="32"/>
      <c r="AC9" s="3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</row>
    <row r="10" spans="1:54" x14ac:dyDescent="0.45">
      <c r="A10" s="1"/>
      <c r="B10" s="1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34"/>
      <c r="Q10" s="35"/>
      <c r="R10" s="35"/>
      <c r="S10" s="35"/>
      <c r="T10" s="36"/>
      <c r="U10" s="23"/>
      <c r="V10" s="23"/>
      <c r="W10" s="23"/>
      <c r="X10" s="23"/>
      <c r="Y10" s="34"/>
      <c r="Z10" s="35"/>
      <c r="AA10" s="35"/>
      <c r="AB10" s="35"/>
      <c r="AC10" s="36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</row>
    <row r="11" spans="1:54" x14ac:dyDescent="0.45">
      <c r="A11" s="1"/>
      <c r="B11" s="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34"/>
      <c r="Q11" s="35"/>
      <c r="R11" s="35"/>
      <c r="S11" s="35"/>
      <c r="T11" s="36"/>
      <c r="U11" s="23"/>
      <c r="V11" s="23"/>
      <c r="W11" s="23"/>
      <c r="X11" s="23"/>
      <c r="Y11" s="34"/>
      <c r="Z11" s="35"/>
      <c r="AA11" s="35"/>
      <c r="AB11" s="35"/>
      <c r="AC11" s="36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</row>
    <row r="12" spans="1:54" x14ac:dyDescent="0.45">
      <c r="A12" s="1"/>
      <c r="B12" s="1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34"/>
      <c r="Q12" s="35"/>
      <c r="R12" s="35"/>
      <c r="S12" s="35"/>
      <c r="T12" s="36"/>
      <c r="U12" s="23"/>
      <c r="V12" s="23"/>
      <c r="W12" s="23"/>
      <c r="X12" s="23"/>
      <c r="Y12" s="34"/>
      <c r="Z12" s="35"/>
      <c r="AA12" s="35"/>
      <c r="AB12" s="35"/>
      <c r="AC12" s="36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</row>
    <row r="13" spans="1:54" x14ac:dyDescent="0.45">
      <c r="A13" s="1"/>
      <c r="B13" s="1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4"/>
      <c r="Q13" s="35"/>
      <c r="R13" s="35"/>
      <c r="S13" s="35"/>
      <c r="T13" s="36"/>
      <c r="U13" s="23"/>
      <c r="V13" s="23"/>
      <c r="W13" s="23"/>
      <c r="X13" s="23"/>
      <c r="Y13" s="34"/>
      <c r="Z13" s="35"/>
      <c r="AA13" s="35"/>
      <c r="AB13" s="35"/>
      <c r="AC13" s="36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</row>
    <row r="14" spans="1:54" x14ac:dyDescent="0.45">
      <c r="A14" s="1"/>
      <c r="B14" s="1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34"/>
      <c r="Q14" s="35"/>
      <c r="R14" s="35"/>
      <c r="S14" s="35"/>
      <c r="T14" s="36"/>
      <c r="U14" s="23"/>
      <c r="V14" s="23"/>
      <c r="W14" s="23"/>
      <c r="X14" s="23"/>
      <c r="Y14" s="34"/>
      <c r="Z14" s="35"/>
      <c r="AA14" s="35"/>
      <c r="AB14" s="35"/>
      <c r="AC14" s="36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</row>
    <row r="15" spans="1:54" x14ac:dyDescent="0.45">
      <c r="A15" s="1"/>
      <c r="B15" s="1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34"/>
      <c r="Q15" s="35"/>
      <c r="R15" s="35"/>
      <c r="S15" s="35"/>
      <c r="T15" s="36"/>
      <c r="U15" s="23"/>
      <c r="V15" s="23"/>
      <c r="W15" s="23"/>
      <c r="X15" s="23"/>
      <c r="Y15" s="34"/>
      <c r="Z15" s="35"/>
      <c r="AA15" s="35"/>
      <c r="AB15" s="35"/>
      <c r="AC15" s="36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</row>
    <row r="16" spans="1:54" x14ac:dyDescent="0.45">
      <c r="A16" s="1"/>
      <c r="B16" s="1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34"/>
      <c r="Q16" s="35"/>
      <c r="R16" s="35"/>
      <c r="S16" s="35"/>
      <c r="T16" s="36"/>
      <c r="U16" s="23"/>
      <c r="V16" s="23"/>
      <c r="W16" s="23"/>
      <c r="X16" s="23"/>
      <c r="Y16" s="34"/>
      <c r="Z16" s="35"/>
      <c r="AA16" s="35"/>
      <c r="AB16" s="35"/>
      <c r="AC16" s="36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</row>
    <row r="17" spans="1:51" x14ac:dyDescent="0.45">
      <c r="A17" s="1"/>
      <c r="B17" s="1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34"/>
      <c r="Q17" s="35"/>
      <c r="R17" s="35"/>
      <c r="S17" s="35"/>
      <c r="T17" s="36"/>
      <c r="U17" s="23"/>
      <c r="V17" s="23"/>
      <c r="W17" s="23"/>
      <c r="X17" s="23"/>
      <c r="Y17" s="34"/>
      <c r="Z17" s="35"/>
      <c r="AA17" s="35"/>
      <c r="AB17" s="35"/>
      <c r="AC17" s="36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</row>
    <row r="18" spans="1:51" x14ac:dyDescent="0.45">
      <c r="A18" s="1"/>
      <c r="B18" s="1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34"/>
      <c r="Q18" s="35"/>
      <c r="R18" s="35"/>
      <c r="S18" s="35"/>
      <c r="T18" s="36"/>
      <c r="U18" s="23"/>
      <c r="V18" s="23"/>
      <c r="W18" s="23"/>
      <c r="X18" s="23"/>
      <c r="Y18" s="34"/>
      <c r="Z18" s="35"/>
      <c r="AA18" s="35"/>
      <c r="AB18" s="35"/>
      <c r="AC18" s="36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</row>
    <row r="19" spans="1:51" x14ac:dyDescent="0.45">
      <c r="A19" s="1"/>
      <c r="B19" s="1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34"/>
      <c r="Q19" s="35"/>
      <c r="R19" s="35"/>
      <c r="S19" s="35"/>
      <c r="T19" s="36"/>
      <c r="U19" s="23"/>
      <c r="V19" s="23"/>
      <c r="W19" s="23"/>
      <c r="X19" s="23"/>
      <c r="Y19" s="34"/>
      <c r="Z19" s="35"/>
      <c r="AA19" s="35"/>
      <c r="AB19" s="35"/>
      <c r="AC19" s="36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</row>
    <row r="20" spans="1:51" x14ac:dyDescent="0.45">
      <c r="A20" s="1"/>
      <c r="B20" s="1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34"/>
      <c r="Q20" s="35"/>
      <c r="R20" s="35"/>
      <c r="S20" s="35"/>
      <c r="T20" s="36"/>
      <c r="U20" s="23"/>
      <c r="V20" s="23"/>
      <c r="W20" s="23"/>
      <c r="X20" s="23"/>
      <c r="Y20" s="34"/>
      <c r="Z20" s="35"/>
      <c r="AA20" s="35"/>
      <c r="AB20" s="35"/>
      <c r="AC20" s="36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</row>
    <row r="21" spans="1:51" x14ac:dyDescent="0.45">
      <c r="A21" s="1"/>
      <c r="B21" s="1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34"/>
      <c r="Q21" s="35"/>
      <c r="R21" s="35"/>
      <c r="S21" s="35"/>
      <c r="T21" s="36"/>
      <c r="U21" s="23"/>
      <c r="V21" s="23"/>
      <c r="W21" s="23"/>
      <c r="X21" s="23"/>
      <c r="Y21" s="34"/>
      <c r="Z21" s="35"/>
      <c r="AA21" s="35"/>
      <c r="AB21" s="35"/>
      <c r="AC21" s="36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</row>
    <row r="22" spans="1:51" x14ac:dyDescent="0.45">
      <c r="A22" s="1"/>
      <c r="B22" s="1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34"/>
      <c r="Q22" s="35"/>
      <c r="R22" s="35"/>
      <c r="S22" s="35"/>
      <c r="T22" s="36"/>
      <c r="U22" s="23"/>
      <c r="V22" s="23"/>
      <c r="W22" s="23"/>
      <c r="X22" s="23"/>
      <c r="Y22" s="34"/>
      <c r="Z22" s="35"/>
      <c r="AA22" s="35"/>
      <c r="AB22" s="35"/>
      <c r="AC22" s="36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</row>
    <row r="23" spans="1:51" x14ac:dyDescent="0.45">
      <c r="A23" s="1"/>
      <c r="B23" s="1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34"/>
      <c r="Q23" s="35"/>
      <c r="R23" s="35"/>
      <c r="S23" s="35"/>
      <c r="T23" s="36"/>
      <c r="U23" s="23"/>
      <c r="V23" s="23"/>
      <c r="W23" s="23"/>
      <c r="X23" s="23"/>
      <c r="Y23" s="34"/>
      <c r="Z23" s="35"/>
      <c r="AA23" s="35"/>
      <c r="AB23" s="35"/>
      <c r="AC23" s="36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</row>
    <row r="24" spans="1:51" x14ac:dyDescent="0.45">
      <c r="A24" s="1"/>
      <c r="B24" s="1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34"/>
      <c r="Q24" s="35"/>
      <c r="R24" s="35"/>
      <c r="S24" s="35"/>
      <c r="T24" s="36"/>
      <c r="U24" s="23"/>
      <c r="V24" s="23"/>
      <c r="W24" s="23"/>
      <c r="X24" s="23"/>
      <c r="Y24" s="34"/>
      <c r="Z24" s="35"/>
      <c r="AA24" s="35"/>
      <c r="AB24" s="35"/>
      <c r="AC24" s="36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</row>
    <row r="25" spans="1:51" x14ac:dyDescent="0.45">
      <c r="A25" s="1"/>
      <c r="B25" s="1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34"/>
      <c r="Q25" s="35"/>
      <c r="R25" s="35"/>
      <c r="S25" s="35"/>
      <c r="T25" s="36"/>
      <c r="U25" s="23"/>
      <c r="V25" s="23"/>
      <c r="W25" s="23"/>
      <c r="X25" s="23"/>
      <c r="Y25" s="34"/>
      <c r="Z25" s="35"/>
      <c r="AA25" s="35"/>
      <c r="AB25" s="35"/>
      <c r="AC25" s="36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</row>
    <row r="26" spans="1:51" x14ac:dyDescent="0.45">
      <c r="A26" s="1"/>
      <c r="B26" s="1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34"/>
      <c r="Q26" s="35"/>
      <c r="R26" s="35"/>
      <c r="S26" s="35"/>
      <c r="T26" s="36"/>
      <c r="U26" s="23"/>
      <c r="V26" s="23"/>
      <c r="W26" s="23"/>
      <c r="X26" s="23"/>
      <c r="Y26" s="34"/>
      <c r="Z26" s="35"/>
      <c r="AA26" s="35"/>
      <c r="AB26" s="35"/>
      <c r="AC26" s="36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</row>
    <row r="27" spans="1:51" x14ac:dyDescent="0.45">
      <c r="A27" s="1"/>
      <c r="B27" s="1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34"/>
      <c r="Q27" s="35"/>
      <c r="R27" s="35"/>
      <c r="S27" s="35"/>
      <c r="T27" s="36"/>
      <c r="U27" s="23"/>
      <c r="V27" s="23"/>
      <c r="W27" s="23"/>
      <c r="X27" s="23"/>
      <c r="Y27" s="34"/>
      <c r="Z27" s="35"/>
      <c r="AA27" s="35"/>
      <c r="AB27" s="35"/>
      <c r="AC27" s="36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</row>
    <row r="28" spans="1:51" x14ac:dyDescent="0.45">
      <c r="A28" s="1"/>
      <c r="B28" s="1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34"/>
      <c r="Q28" s="35"/>
      <c r="R28" s="35"/>
      <c r="S28" s="35"/>
      <c r="T28" s="36"/>
      <c r="U28" s="23"/>
      <c r="V28" s="23"/>
      <c r="W28" s="23"/>
      <c r="X28" s="23"/>
      <c r="Y28" s="34"/>
      <c r="Z28" s="35"/>
      <c r="AA28" s="35"/>
      <c r="AB28" s="35"/>
      <c r="AC28" s="36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</row>
    <row r="29" spans="1:51" x14ac:dyDescent="0.45">
      <c r="A29" s="1"/>
      <c r="B29" s="1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34"/>
      <c r="Q29" s="35"/>
      <c r="R29" s="35"/>
      <c r="S29" s="35"/>
      <c r="T29" s="36"/>
      <c r="U29" s="23"/>
      <c r="V29" s="23"/>
      <c r="W29" s="23"/>
      <c r="X29" s="23"/>
      <c r="Y29" s="34"/>
      <c r="Z29" s="35"/>
      <c r="AA29" s="35"/>
      <c r="AB29" s="35"/>
      <c r="AC29" s="36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</row>
    <row r="30" spans="1:51" x14ac:dyDescent="0.45">
      <c r="A30" s="1"/>
      <c r="B30" s="1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34"/>
      <c r="Q30" s="35"/>
      <c r="R30" s="35"/>
      <c r="S30" s="35"/>
      <c r="T30" s="36"/>
      <c r="U30" s="23"/>
      <c r="V30" s="23"/>
      <c r="W30" s="23"/>
      <c r="X30" s="23"/>
      <c r="Y30" s="34"/>
      <c r="Z30" s="35"/>
      <c r="AA30" s="35"/>
      <c r="AB30" s="35"/>
      <c r="AC30" s="36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</row>
    <row r="31" spans="1:51" x14ac:dyDescent="0.45">
      <c r="A31" s="1"/>
      <c r="B31" s="1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34"/>
      <c r="Q31" s="35"/>
      <c r="R31" s="35"/>
      <c r="S31" s="35"/>
      <c r="T31" s="36"/>
      <c r="U31" s="23"/>
      <c r="V31" s="23"/>
      <c r="W31" s="23"/>
      <c r="X31" s="23"/>
      <c r="Y31" s="34"/>
      <c r="Z31" s="35"/>
      <c r="AA31" s="35"/>
      <c r="AB31" s="35"/>
      <c r="AC31" s="36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</row>
    <row r="32" spans="1:51" x14ac:dyDescent="0.45">
      <c r="A32" s="1"/>
      <c r="B32" s="1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34"/>
      <c r="Q32" s="35"/>
      <c r="R32" s="35"/>
      <c r="S32" s="35"/>
      <c r="T32" s="36"/>
      <c r="U32" s="23"/>
      <c r="V32" s="23"/>
      <c r="W32" s="23"/>
      <c r="X32" s="23"/>
      <c r="Y32" s="34"/>
      <c r="Z32" s="35"/>
      <c r="AA32" s="35"/>
      <c r="AB32" s="35"/>
      <c r="AC32" s="36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</row>
    <row r="33" spans="1:51" x14ac:dyDescent="0.45">
      <c r="A33" s="1"/>
      <c r="B33" s="1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34"/>
      <c r="Q33" s="35"/>
      <c r="R33" s="35"/>
      <c r="S33" s="35"/>
      <c r="T33" s="36"/>
      <c r="U33" s="23"/>
      <c r="V33" s="23"/>
      <c r="W33" s="23"/>
      <c r="X33" s="23"/>
      <c r="Y33" s="34"/>
      <c r="Z33" s="35"/>
      <c r="AA33" s="35"/>
      <c r="AB33" s="35"/>
      <c r="AC33" s="36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</row>
    <row r="34" spans="1:51" x14ac:dyDescent="0.45">
      <c r="A34" s="1"/>
      <c r="B34" s="1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34"/>
      <c r="Q34" s="35"/>
      <c r="R34" s="35"/>
      <c r="S34" s="35"/>
      <c r="T34" s="36"/>
      <c r="U34" s="23"/>
      <c r="V34" s="23"/>
      <c r="W34" s="23"/>
      <c r="X34" s="23"/>
      <c r="Y34" s="34"/>
      <c r="Z34" s="35"/>
      <c r="AA34" s="35"/>
      <c r="AB34" s="35"/>
      <c r="AC34" s="36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</row>
    <row r="35" spans="1:51" x14ac:dyDescent="0.45">
      <c r="A35" s="1"/>
      <c r="B35" s="1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34"/>
      <c r="Q35" s="35"/>
      <c r="R35" s="35"/>
      <c r="S35" s="35"/>
      <c r="T35" s="36"/>
      <c r="U35" s="23"/>
      <c r="V35" s="23"/>
      <c r="W35" s="23"/>
      <c r="X35" s="23"/>
      <c r="Y35" s="34"/>
      <c r="Z35" s="35"/>
      <c r="AA35" s="35"/>
      <c r="AB35" s="35"/>
      <c r="AC35" s="36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</row>
    <row r="36" spans="1:51" x14ac:dyDescent="0.45"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34"/>
      <c r="Q36" s="35"/>
      <c r="R36" s="35"/>
      <c r="S36" s="35"/>
      <c r="T36" s="36"/>
      <c r="U36" s="23"/>
      <c r="V36" s="23"/>
      <c r="W36" s="23"/>
      <c r="X36" s="23"/>
      <c r="Y36" s="34"/>
      <c r="Z36" s="35"/>
      <c r="AA36" s="35"/>
      <c r="AB36" s="35"/>
      <c r="AC36" s="36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</row>
    <row r="37" spans="1:51" x14ac:dyDescent="0.45"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34"/>
      <c r="Q37" s="35"/>
      <c r="R37" s="35"/>
      <c r="S37" s="35"/>
      <c r="T37" s="36"/>
      <c r="U37" s="23"/>
      <c r="V37" s="23"/>
      <c r="W37" s="23"/>
      <c r="X37" s="23"/>
      <c r="Y37" s="34"/>
      <c r="Z37" s="35"/>
      <c r="AA37" s="35"/>
      <c r="AB37" s="35"/>
      <c r="AC37" s="36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</row>
    <row r="38" spans="1:51" x14ac:dyDescent="0.45"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34"/>
      <c r="Q38" s="35"/>
      <c r="R38" s="35"/>
      <c r="S38" s="35"/>
      <c r="T38" s="36"/>
      <c r="U38" s="23"/>
      <c r="V38" s="23"/>
      <c r="W38" s="23"/>
      <c r="X38" s="23"/>
      <c r="Y38" s="34"/>
      <c r="Z38" s="35"/>
      <c r="AA38" s="35"/>
      <c r="AB38" s="35"/>
      <c r="AC38" s="36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</row>
    <row r="39" spans="1:51" x14ac:dyDescent="0.45"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34"/>
      <c r="Q39" s="35"/>
      <c r="R39" s="35"/>
      <c r="S39" s="35"/>
      <c r="T39" s="36"/>
      <c r="U39" s="23"/>
      <c r="V39" s="23"/>
      <c r="W39" s="23"/>
      <c r="X39" s="23"/>
      <c r="Y39" s="34"/>
      <c r="Z39" s="35"/>
      <c r="AA39" s="35"/>
      <c r="AB39" s="35"/>
      <c r="AC39" s="36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</row>
    <row r="40" spans="1:51" x14ac:dyDescent="0.45"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34"/>
      <c r="Q40" s="35"/>
      <c r="R40" s="35"/>
      <c r="S40" s="35"/>
      <c r="T40" s="36"/>
      <c r="U40" s="23"/>
      <c r="V40" s="23"/>
      <c r="W40" s="23"/>
      <c r="X40" s="23"/>
      <c r="Y40" s="34"/>
      <c r="Z40" s="35"/>
      <c r="AA40" s="35"/>
      <c r="AB40" s="35"/>
      <c r="AC40" s="36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</row>
    <row r="41" spans="1:51" x14ac:dyDescent="0.45"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34"/>
      <c r="Q41" s="35"/>
      <c r="R41" s="35"/>
      <c r="S41" s="35"/>
      <c r="T41" s="36"/>
      <c r="U41" s="23"/>
      <c r="V41" s="23"/>
      <c r="W41" s="23"/>
      <c r="X41" s="23"/>
      <c r="Y41" s="34"/>
      <c r="Z41" s="35"/>
      <c r="AA41" s="35"/>
      <c r="AB41" s="35"/>
      <c r="AC41" s="36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</row>
    <row r="42" spans="1:51" x14ac:dyDescent="0.45"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34"/>
      <c r="Q42" s="35"/>
      <c r="R42" s="35"/>
      <c r="S42" s="35"/>
      <c r="T42" s="36"/>
      <c r="U42" s="23"/>
      <c r="V42" s="23"/>
      <c r="W42" s="23"/>
      <c r="X42" s="23"/>
      <c r="Y42" s="34"/>
      <c r="Z42" s="35"/>
      <c r="AA42" s="35"/>
      <c r="AB42" s="35"/>
      <c r="AC42" s="36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</row>
    <row r="43" spans="1:51" x14ac:dyDescent="0.4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34"/>
      <c r="Q43" s="35"/>
      <c r="R43" s="35"/>
      <c r="S43" s="35"/>
      <c r="T43" s="36"/>
      <c r="U43" s="23"/>
      <c r="V43" s="23"/>
      <c r="W43" s="23"/>
      <c r="X43" s="23"/>
      <c r="Y43" s="34"/>
      <c r="Z43" s="35"/>
      <c r="AA43" s="35"/>
      <c r="AB43" s="35"/>
      <c r="AC43" s="36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</row>
    <row r="44" spans="1:51" x14ac:dyDescent="0.45"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34"/>
      <c r="Q44" s="35"/>
      <c r="R44" s="35"/>
      <c r="S44" s="35"/>
      <c r="T44" s="36"/>
      <c r="U44" s="23"/>
      <c r="V44" s="23"/>
      <c r="W44" s="23"/>
      <c r="X44" s="23"/>
      <c r="Y44" s="34"/>
      <c r="Z44" s="35"/>
      <c r="AA44" s="35"/>
      <c r="AB44" s="35"/>
      <c r="AC44" s="36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</row>
    <row r="45" spans="1:51" x14ac:dyDescent="0.45"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34"/>
      <c r="Q45" s="35"/>
      <c r="R45" s="35"/>
      <c r="S45" s="35"/>
      <c r="T45" s="36"/>
      <c r="U45" s="23"/>
      <c r="V45" s="23"/>
      <c r="W45" s="23"/>
      <c r="X45" s="23"/>
      <c r="Y45" s="34"/>
      <c r="Z45" s="35"/>
      <c r="AA45" s="35"/>
      <c r="AB45" s="35"/>
      <c r="AC45" s="36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</row>
    <row r="46" spans="1:51" x14ac:dyDescent="0.45"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34"/>
      <c r="Q46" s="35"/>
      <c r="R46" s="35"/>
      <c r="S46" s="35"/>
      <c r="T46" s="36"/>
      <c r="U46" s="23"/>
      <c r="V46" s="23"/>
      <c r="W46" s="23"/>
      <c r="X46" s="23"/>
      <c r="Y46" s="34"/>
      <c r="Z46" s="35"/>
      <c r="AA46" s="35"/>
      <c r="AB46" s="35"/>
      <c r="AC46" s="36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</row>
    <row r="47" spans="1:51" x14ac:dyDescent="0.45"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34"/>
      <c r="Q47" s="35"/>
      <c r="R47" s="35"/>
      <c r="S47" s="35"/>
      <c r="T47" s="36"/>
      <c r="U47" s="23"/>
      <c r="V47" s="23"/>
      <c r="W47" s="23"/>
      <c r="X47" s="23"/>
      <c r="Y47" s="34"/>
      <c r="Z47" s="35"/>
      <c r="AA47" s="35"/>
      <c r="AB47" s="35"/>
      <c r="AC47" s="36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</row>
    <row r="48" spans="1:51" x14ac:dyDescent="0.45"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34"/>
      <c r="Q48" s="35"/>
      <c r="R48" s="35"/>
      <c r="S48" s="35"/>
      <c r="T48" s="36"/>
      <c r="U48" s="23"/>
      <c r="V48" s="23"/>
      <c r="W48" s="23"/>
      <c r="X48" s="23"/>
      <c r="Y48" s="34"/>
      <c r="Z48" s="35"/>
      <c r="AA48" s="35"/>
      <c r="AB48" s="35"/>
      <c r="AC48" s="36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</row>
    <row r="49" spans="3:51" x14ac:dyDescent="0.45"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34"/>
      <c r="Q49" s="35"/>
      <c r="R49" s="35"/>
      <c r="S49" s="35"/>
      <c r="T49" s="36"/>
      <c r="U49" s="23"/>
      <c r="V49" s="23"/>
      <c r="W49" s="23"/>
      <c r="X49" s="23"/>
      <c r="Y49" s="34"/>
      <c r="Z49" s="35"/>
      <c r="AA49" s="35"/>
      <c r="AB49" s="35"/>
      <c r="AC49" s="36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</row>
    <row r="50" spans="3:51" x14ac:dyDescent="0.45"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34"/>
      <c r="Q50" s="35"/>
      <c r="R50" s="35"/>
      <c r="S50" s="35"/>
      <c r="T50" s="36"/>
      <c r="U50" s="23"/>
      <c r="V50" s="23"/>
      <c r="W50" s="23"/>
      <c r="X50" s="23"/>
      <c r="Y50" s="34"/>
      <c r="Z50" s="35"/>
      <c r="AA50" s="35"/>
      <c r="AB50" s="35"/>
      <c r="AC50" s="36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</row>
    <row r="51" spans="3:51" x14ac:dyDescent="0.45"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34"/>
      <c r="Q51" s="35"/>
      <c r="R51" s="35"/>
      <c r="S51" s="35"/>
      <c r="T51" s="36"/>
      <c r="U51" s="23"/>
      <c r="V51" s="23"/>
      <c r="W51" s="23"/>
      <c r="X51" s="23"/>
      <c r="Y51" s="34"/>
      <c r="Z51" s="35"/>
      <c r="AA51" s="35"/>
      <c r="AB51" s="35"/>
      <c r="AC51" s="36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</row>
    <row r="52" spans="3:51" x14ac:dyDescent="0.45"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34"/>
      <c r="Q52" s="35"/>
      <c r="R52" s="35"/>
      <c r="S52" s="35"/>
      <c r="T52" s="36"/>
      <c r="U52" s="23"/>
      <c r="V52" s="23"/>
      <c r="W52" s="23"/>
      <c r="X52" s="23"/>
      <c r="Y52" s="34"/>
      <c r="Z52" s="35"/>
      <c r="AA52" s="35"/>
      <c r="AB52" s="35"/>
      <c r="AC52" s="36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</row>
    <row r="53" spans="3:51" x14ac:dyDescent="0.45"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34"/>
      <c r="Q53" s="35"/>
      <c r="R53" s="35"/>
      <c r="S53" s="35"/>
      <c r="T53" s="36"/>
      <c r="U53" s="23"/>
      <c r="V53" s="23"/>
      <c r="W53" s="23"/>
      <c r="X53" s="23"/>
      <c r="Y53" s="34"/>
      <c r="Z53" s="35"/>
      <c r="AA53" s="35"/>
      <c r="AB53" s="35"/>
      <c r="AC53" s="36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</row>
    <row r="54" spans="3:51" x14ac:dyDescent="0.45"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34"/>
      <c r="Q54" s="35"/>
      <c r="R54" s="35"/>
      <c r="S54" s="35"/>
      <c r="T54" s="36"/>
      <c r="U54" s="23"/>
      <c r="V54" s="23"/>
      <c r="W54" s="23"/>
      <c r="X54" s="23"/>
      <c r="Y54" s="34"/>
      <c r="Z54" s="35"/>
      <c r="AA54" s="35"/>
      <c r="AB54" s="35"/>
      <c r="AC54" s="36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</row>
    <row r="55" spans="3:51" x14ac:dyDescent="0.45"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34"/>
      <c r="Q55" s="35"/>
      <c r="R55" s="35"/>
      <c r="S55" s="35"/>
      <c r="T55" s="36"/>
      <c r="U55" s="23"/>
      <c r="V55" s="23"/>
      <c r="W55" s="23"/>
      <c r="X55" s="23"/>
      <c r="Y55" s="34"/>
      <c r="Z55" s="35"/>
      <c r="AA55" s="35"/>
      <c r="AB55" s="35"/>
      <c r="AC55" s="36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</row>
    <row r="56" spans="3:51" x14ac:dyDescent="0.45"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37"/>
      <c r="Q56" s="38"/>
      <c r="R56" s="38"/>
      <c r="S56" s="38"/>
      <c r="T56" s="39"/>
      <c r="U56" s="23"/>
      <c r="V56" s="23"/>
      <c r="W56" s="23"/>
      <c r="X56" s="23"/>
      <c r="Y56" s="37"/>
      <c r="Z56" s="38"/>
      <c r="AA56" s="38"/>
      <c r="AB56" s="38"/>
      <c r="AC56" s="39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</row>
    <row r="57" spans="3:51" x14ac:dyDescent="0.45"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</row>
    <row r="58" spans="3:51" x14ac:dyDescent="0.45"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</row>
    <row r="59" spans="3:51" x14ac:dyDescent="0.45"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</row>
    <row r="60" spans="3:51" x14ac:dyDescent="0.45"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</row>
    <row r="61" spans="3:51" x14ac:dyDescent="0.45"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</row>
    <row r="62" spans="3:51" x14ac:dyDescent="0.45"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</row>
    <row r="63" spans="3:51" x14ac:dyDescent="0.45"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</row>
    <row r="64" spans="3:51" x14ac:dyDescent="0.45"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</row>
    <row r="65" spans="3:51" x14ac:dyDescent="0.45"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</row>
    <row r="66" spans="3:51" x14ac:dyDescent="0.45"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</row>
    <row r="67" spans="3:51" x14ac:dyDescent="0.45"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</row>
    <row r="68" spans="3:51" x14ac:dyDescent="0.45"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</row>
    <row r="69" spans="3:51" x14ac:dyDescent="0.45"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</row>
    <row r="70" spans="3:51" x14ac:dyDescent="0.45"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</row>
    <row r="71" spans="3:51" x14ac:dyDescent="0.45"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</row>
    <row r="72" spans="3:51" x14ac:dyDescent="0.45"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</row>
    <row r="73" spans="3:51" x14ac:dyDescent="0.45"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</row>
    <row r="74" spans="3:51" x14ac:dyDescent="0.45"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</row>
    <row r="75" spans="3:51" x14ac:dyDescent="0.45"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</row>
    <row r="76" spans="3:51" x14ac:dyDescent="0.45"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</row>
    <row r="77" spans="3:51" x14ac:dyDescent="0.45"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</row>
    <row r="78" spans="3:51" x14ac:dyDescent="0.45"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</row>
    <row r="79" spans="3:51" x14ac:dyDescent="0.45"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</row>
    <row r="80" spans="3:51" x14ac:dyDescent="0.45"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</row>
    <row r="81" spans="3:51" x14ac:dyDescent="0.45"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</row>
    <row r="82" spans="3:51" x14ac:dyDescent="0.45"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</row>
    <row r="83" spans="3:51" x14ac:dyDescent="0.45"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</row>
    <row r="84" spans="3:51" x14ac:dyDescent="0.45"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</row>
    <row r="85" spans="3:51" x14ac:dyDescent="0.45"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</row>
    <row r="86" spans="3:51" x14ac:dyDescent="0.45"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</row>
    <row r="87" spans="3:51" x14ac:dyDescent="0.45"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</row>
    <row r="88" spans="3:51" x14ac:dyDescent="0.45"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</row>
    <row r="89" spans="3:51" x14ac:dyDescent="0.45"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</row>
    <row r="90" spans="3:51" x14ac:dyDescent="0.45"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</row>
    <row r="91" spans="3:51" x14ac:dyDescent="0.45"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</row>
    <row r="92" spans="3:51" x14ac:dyDescent="0.45"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</row>
    <row r="93" spans="3:51" x14ac:dyDescent="0.45"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</row>
    <row r="94" spans="3:51" x14ac:dyDescent="0.45"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</row>
    <row r="95" spans="3:51" x14ac:dyDescent="0.45"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</row>
    <row r="96" spans="3:51" x14ac:dyDescent="0.45"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</row>
    <row r="97" spans="3:51" x14ac:dyDescent="0.45"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</row>
    <row r="98" spans="3:51" x14ac:dyDescent="0.45"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</row>
    <row r="99" spans="3:51" x14ac:dyDescent="0.45"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</row>
    <row r="100" spans="3:51" x14ac:dyDescent="0.4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</row>
  </sheetData>
  <mergeCells count="13">
    <mergeCell ref="I7:K7"/>
    <mergeCell ref="G1:L1"/>
    <mergeCell ref="C1:E1"/>
    <mergeCell ref="Z1:AD1"/>
    <mergeCell ref="AP1:AT1"/>
    <mergeCell ref="Q1:U1"/>
    <mergeCell ref="Q3:R3"/>
    <mergeCell ref="S7:T7"/>
    <mergeCell ref="Q7:R7"/>
    <mergeCell ref="Z7:AA7"/>
    <mergeCell ref="Z3:AA3"/>
    <mergeCell ref="AB7:AC7"/>
    <mergeCell ref="AI1:AM1"/>
  </mergeCells>
  <conditionalFormatting sqref="P9:T56">
    <cfRule type="expression" dxfId="2" priority="3">
      <formula>MOD(ROW(),2)=0</formula>
    </cfRule>
  </conditionalFormatting>
  <conditionalFormatting sqref="Y9:AC56">
    <cfRule type="expression" dxfId="1" priority="2">
      <formula>MOD(ROW(),2)=0</formula>
    </cfRule>
  </conditionalFormatting>
  <conditionalFormatting sqref="AH4:AH6">
    <cfRule type="expression" dxfId="0" priority="1">
      <formula>$B$5=ROW()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6095-2707-4C2D-94C4-2DCBF03206BD}">
  <sheetPr codeName="Sheet2"/>
  <dimension ref="A1:K9"/>
  <sheetViews>
    <sheetView workbookViewId="0">
      <selection activeCell="B3" sqref="B3"/>
    </sheetView>
  </sheetViews>
  <sheetFormatPr defaultRowHeight="14.25" x14ac:dyDescent="0.45"/>
  <sheetData>
    <row r="1" spans="1:11" x14ac:dyDescent="0.45">
      <c r="A1" s="50" t="s">
        <v>9</v>
      </c>
      <c r="B1" s="50"/>
      <c r="C1" s="50"/>
      <c r="D1" s="50"/>
      <c r="H1" s="50" t="s">
        <v>10</v>
      </c>
      <c r="I1" s="50"/>
      <c r="J1" s="50"/>
      <c r="K1" s="50"/>
    </row>
    <row r="2" spans="1:11" x14ac:dyDescent="0.45">
      <c r="A2" s="7" t="s">
        <v>4</v>
      </c>
      <c r="B2" s="7" t="s">
        <v>5</v>
      </c>
      <c r="C2" s="7" t="s">
        <v>6</v>
      </c>
      <c r="D2" s="7" t="s">
        <v>7</v>
      </c>
      <c r="E2" s="5"/>
      <c r="F2" s="5"/>
      <c r="G2" s="5"/>
      <c r="H2" s="8" t="s">
        <v>6</v>
      </c>
      <c r="I2" s="8" t="s">
        <v>6</v>
      </c>
      <c r="J2" s="8" t="s">
        <v>5</v>
      </c>
      <c r="K2" s="8" t="s">
        <v>11</v>
      </c>
    </row>
    <row r="3" spans="1:11" x14ac:dyDescent="0.45">
      <c r="A3" s="5">
        <v>1</v>
      </c>
      <c r="B3" t="s">
        <v>138</v>
      </c>
      <c r="C3" s="3">
        <v>44563</v>
      </c>
      <c r="D3" s="4">
        <v>49</v>
      </c>
      <c r="H3" t="s">
        <v>12</v>
      </c>
      <c r="I3" t="s">
        <v>13</v>
      </c>
      <c r="J3" t="s">
        <v>8</v>
      </c>
      <c r="K3">
        <v>0</v>
      </c>
    </row>
    <row r="4" spans="1:11" x14ac:dyDescent="0.45">
      <c r="A4" s="5">
        <v>2</v>
      </c>
      <c r="B4" t="s">
        <v>14</v>
      </c>
      <c r="C4" s="3">
        <v>44564</v>
      </c>
      <c r="D4" s="4">
        <v>75</v>
      </c>
      <c r="J4" t="s">
        <v>14</v>
      </c>
      <c r="K4">
        <v>0</v>
      </c>
    </row>
    <row r="5" spans="1:11" x14ac:dyDescent="0.45">
      <c r="A5" s="5">
        <v>3</v>
      </c>
      <c r="B5" t="s">
        <v>15</v>
      </c>
      <c r="C5" s="3">
        <v>44565</v>
      </c>
      <c r="D5" s="4">
        <v>30</v>
      </c>
      <c r="J5" t="s">
        <v>17</v>
      </c>
      <c r="K5">
        <v>0</v>
      </c>
    </row>
    <row r="6" spans="1:11" x14ac:dyDescent="0.45">
      <c r="A6" s="5">
        <v>4</v>
      </c>
      <c r="B6" t="s">
        <v>16</v>
      </c>
      <c r="C6" s="3">
        <v>44566</v>
      </c>
      <c r="D6" s="4">
        <v>30</v>
      </c>
    </row>
    <row r="7" spans="1:11" x14ac:dyDescent="0.45">
      <c r="A7" s="5">
        <v>5</v>
      </c>
      <c r="B7" t="s">
        <v>16</v>
      </c>
      <c r="C7" s="3">
        <v>44567</v>
      </c>
      <c r="D7" s="4">
        <v>35</v>
      </c>
    </row>
    <row r="8" spans="1:11" x14ac:dyDescent="0.45">
      <c r="A8" s="5">
        <v>6</v>
      </c>
      <c r="B8" t="s">
        <v>17</v>
      </c>
      <c r="C8" s="3">
        <v>44568</v>
      </c>
      <c r="D8" s="4">
        <v>130</v>
      </c>
    </row>
    <row r="9" spans="1:11" x14ac:dyDescent="0.45">
      <c r="A9" s="5"/>
    </row>
  </sheetData>
  <mergeCells count="2">
    <mergeCell ref="A1:D1"/>
    <mergeCell ref="H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CE37-9809-42B8-9796-43D1E07C6B59}">
  <sheetPr codeName="Sheet3"/>
  <dimension ref="B3:H12"/>
  <sheetViews>
    <sheetView workbookViewId="0">
      <selection activeCell="F20" sqref="F20"/>
    </sheetView>
  </sheetViews>
  <sheetFormatPr defaultRowHeight="14.25" x14ac:dyDescent="0.45"/>
  <cols>
    <col min="3" max="3" width="22.9296875" bestFit="1" customWidth="1"/>
    <col min="4" max="4" width="7.73046875" customWidth="1"/>
    <col min="6" max="6" width="15.06640625" bestFit="1" customWidth="1"/>
    <col min="8" max="8" width="15" bestFit="1" customWidth="1"/>
  </cols>
  <sheetData>
    <row r="3" spans="2:8" x14ac:dyDescent="0.45">
      <c r="B3" s="5"/>
      <c r="C3" s="51" t="s">
        <v>18</v>
      </c>
      <c r="D3" s="51"/>
      <c r="E3" s="5"/>
      <c r="F3" s="9" t="s">
        <v>30</v>
      </c>
      <c r="G3" s="5"/>
      <c r="H3" s="9" t="s">
        <v>36</v>
      </c>
    </row>
    <row r="4" spans="2:8" x14ac:dyDescent="0.45">
      <c r="C4" s="10" t="s">
        <v>19</v>
      </c>
      <c r="D4" s="10" t="s">
        <v>20</v>
      </c>
      <c r="F4" t="s">
        <v>31</v>
      </c>
      <c r="H4" t="s">
        <v>37</v>
      </c>
    </row>
    <row r="5" spans="2:8" x14ac:dyDescent="0.45">
      <c r="C5" t="s">
        <v>21</v>
      </c>
      <c r="D5" t="s">
        <v>22</v>
      </c>
      <c r="F5" t="s">
        <v>32</v>
      </c>
      <c r="H5" t="s">
        <v>38</v>
      </c>
    </row>
    <row r="6" spans="2:8" x14ac:dyDescent="0.45">
      <c r="C6" t="s">
        <v>23</v>
      </c>
      <c r="D6" t="s">
        <v>22</v>
      </c>
      <c r="F6" t="s">
        <v>33</v>
      </c>
      <c r="H6" t="s">
        <v>39</v>
      </c>
    </row>
    <row r="7" spans="2:8" x14ac:dyDescent="0.45">
      <c r="C7" t="s">
        <v>24</v>
      </c>
      <c r="D7" t="s">
        <v>22</v>
      </c>
      <c r="F7" t="s">
        <v>34</v>
      </c>
      <c r="H7" t="s">
        <v>40</v>
      </c>
    </row>
    <row r="8" spans="2:8" x14ac:dyDescent="0.45">
      <c r="C8" t="s">
        <v>25</v>
      </c>
      <c r="D8" t="s">
        <v>42</v>
      </c>
      <c r="F8" t="s">
        <v>35</v>
      </c>
      <c r="H8" t="s">
        <v>41</v>
      </c>
    </row>
    <row r="9" spans="2:8" x14ac:dyDescent="0.45">
      <c r="C9" t="s">
        <v>26</v>
      </c>
      <c r="D9" t="s">
        <v>42</v>
      </c>
    </row>
    <row r="10" spans="2:8" x14ac:dyDescent="0.45">
      <c r="C10" t="s">
        <v>27</v>
      </c>
      <c r="D10" t="s">
        <v>42</v>
      </c>
    </row>
    <row r="11" spans="2:8" x14ac:dyDescent="0.45">
      <c r="C11" t="s">
        <v>28</v>
      </c>
      <c r="D11" t="s">
        <v>42</v>
      </c>
    </row>
    <row r="12" spans="2:8" x14ac:dyDescent="0.45">
      <c r="C12" t="s">
        <v>29</v>
      </c>
      <c r="D12" t="s">
        <v>42</v>
      </c>
    </row>
  </sheetData>
  <mergeCells count="1">
    <mergeCell ref="C3:D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5F0A-13A6-4B79-BB89-0F670F23E390}">
  <sheetPr codeName="Sheet4"/>
  <dimension ref="A1:F17"/>
  <sheetViews>
    <sheetView workbookViewId="0">
      <selection activeCell="C23" sqref="C23"/>
    </sheetView>
  </sheetViews>
  <sheetFormatPr defaultRowHeight="14.25" x14ac:dyDescent="0.45"/>
  <cols>
    <col min="1" max="1" width="7.19921875" customWidth="1"/>
    <col min="2" max="3" width="16.33203125" bestFit="1" customWidth="1"/>
    <col min="4" max="4" width="9.06640625" style="5"/>
  </cols>
  <sheetData>
    <row r="1" spans="1:6" s="5" customFormat="1" x14ac:dyDescent="0.45">
      <c r="A1" s="52" t="s">
        <v>54</v>
      </c>
      <c r="B1" s="52"/>
      <c r="C1" s="52"/>
      <c r="D1" s="52"/>
      <c r="E1" s="52"/>
      <c r="F1" s="52"/>
    </row>
    <row r="2" spans="1:6" s="5" customFormat="1" x14ac:dyDescent="0.45">
      <c r="A2" s="13" t="s">
        <v>4</v>
      </c>
      <c r="B2" s="13" t="s">
        <v>43</v>
      </c>
      <c r="C2" s="13" t="s">
        <v>44</v>
      </c>
      <c r="D2" s="13" t="s">
        <v>45</v>
      </c>
      <c r="E2" s="13" t="s">
        <v>46</v>
      </c>
      <c r="F2" s="13" t="s">
        <v>7</v>
      </c>
    </row>
    <row r="3" spans="1:6" x14ac:dyDescent="0.45">
      <c r="A3" s="5">
        <v>1</v>
      </c>
      <c r="B3" t="s">
        <v>47</v>
      </c>
      <c r="C3" t="s">
        <v>47</v>
      </c>
      <c r="D3" s="5">
        <v>1</v>
      </c>
      <c r="E3" s="11">
        <v>16</v>
      </c>
      <c r="F3" s="12">
        <f>E3*D3</f>
        <v>16</v>
      </c>
    </row>
    <row r="4" spans="1:6" x14ac:dyDescent="0.45">
      <c r="A4" s="5">
        <v>1</v>
      </c>
      <c r="B4" t="s">
        <v>48</v>
      </c>
      <c r="C4" t="s">
        <v>48</v>
      </c>
      <c r="D4" s="5">
        <v>1</v>
      </c>
      <c r="E4" s="11">
        <v>14</v>
      </c>
      <c r="F4" s="12">
        <f t="shared" ref="F4:F17" si="0">E4*D4</f>
        <v>14</v>
      </c>
    </row>
    <row r="5" spans="1:6" x14ac:dyDescent="0.45">
      <c r="A5" s="5">
        <v>1</v>
      </c>
      <c r="B5" t="s">
        <v>52</v>
      </c>
      <c r="C5" t="s">
        <v>52</v>
      </c>
      <c r="D5" s="5">
        <v>1</v>
      </c>
      <c r="E5" s="11">
        <v>19</v>
      </c>
      <c r="F5" s="12">
        <f t="shared" si="0"/>
        <v>19</v>
      </c>
    </row>
    <row r="6" spans="1:6" x14ac:dyDescent="0.45">
      <c r="A6" s="5">
        <v>2</v>
      </c>
      <c r="B6" t="s">
        <v>49</v>
      </c>
      <c r="C6" t="s">
        <v>49</v>
      </c>
      <c r="D6" s="5">
        <v>1</v>
      </c>
      <c r="E6" s="11">
        <v>21</v>
      </c>
      <c r="F6" s="12">
        <f t="shared" si="0"/>
        <v>21</v>
      </c>
    </row>
    <row r="7" spans="1:6" x14ac:dyDescent="0.45">
      <c r="A7" s="5">
        <v>2</v>
      </c>
      <c r="B7" t="s">
        <v>47</v>
      </c>
      <c r="C7" t="s">
        <v>47</v>
      </c>
      <c r="D7" s="5">
        <v>2</v>
      </c>
      <c r="E7" s="11">
        <v>16</v>
      </c>
      <c r="F7" s="12">
        <f t="shared" si="0"/>
        <v>32</v>
      </c>
    </row>
    <row r="8" spans="1:6" x14ac:dyDescent="0.45">
      <c r="A8" s="5">
        <v>2</v>
      </c>
      <c r="B8" t="s">
        <v>50</v>
      </c>
      <c r="C8" t="s">
        <v>50</v>
      </c>
      <c r="D8" s="5">
        <v>1</v>
      </c>
      <c r="E8" s="11">
        <v>22</v>
      </c>
      <c r="F8" s="12">
        <f t="shared" si="0"/>
        <v>22</v>
      </c>
    </row>
    <row r="9" spans="1:6" x14ac:dyDescent="0.45">
      <c r="A9" s="5">
        <v>3</v>
      </c>
      <c r="B9" t="s">
        <v>51</v>
      </c>
      <c r="C9" t="s">
        <v>51</v>
      </c>
      <c r="D9" s="5">
        <v>1</v>
      </c>
      <c r="E9" s="11">
        <v>14</v>
      </c>
      <c r="F9" s="12">
        <f t="shared" si="0"/>
        <v>14</v>
      </c>
    </row>
    <row r="10" spans="1:6" x14ac:dyDescent="0.45">
      <c r="A10" s="5">
        <v>3</v>
      </c>
      <c r="B10" t="s">
        <v>47</v>
      </c>
      <c r="C10" t="s">
        <v>47</v>
      </c>
      <c r="D10" s="5">
        <v>1</v>
      </c>
      <c r="E10" s="11">
        <v>16</v>
      </c>
      <c r="F10" s="12">
        <f t="shared" si="0"/>
        <v>16</v>
      </c>
    </row>
    <row r="11" spans="1:6" x14ac:dyDescent="0.45">
      <c r="A11" s="5">
        <v>4</v>
      </c>
      <c r="B11" t="s">
        <v>51</v>
      </c>
      <c r="C11" t="s">
        <v>51</v>
      </c>
      <c r="D11" s="5">
        <v>1</v>
      </c>
      <c r="E11" s="11">
        <v>14</v>
      </c>
      <c r="F11" s="12">
        <f t="shared" si="0"/>
        <v>14</v>
      </c>
    </row>
    <row r="12" spans="1:6" x14ac:dyDescent="0.45">
      <c r="A12" s="5">
        <v>4</v>
      </c>
      <c r="B12" t="s">
        <v>47</v>
      </c>
      <c r="C12" t="s">
        <v>47</v>
      </c>
      <c r="D12" s="5">
        <v>1</v>
      </c>
      <c r="E12" s="11">
        <v>16</v>
      </c>
      <c r="F12" s="12">
        <f t="shared" si="0"/>
        <v>16</v>
      </c>
    </row>
    <row r="13" spans="1:6" x14ac:dyDescent="0.45">
      <c r="A13" s="5">
        <v>5</v>
      </c>
      <c r="B13" t="s">
        <v>47</v>
      </c>
      <c r="C13" t="s">
        <v>47</v>
      </c>
      <c r="D13" s="5">
        <v>1</v>
      </c>
      <c r="E13" s="11">
        <v>16</v>
      </c>
      <c r="F13" s="12">
        <f t="shared" si="0"/>
        <v>16</v>
      </c>
    </row>
    <row r="14" spans="1:6" x14ac:dyDescent="0.45">
      <c r="A14" s="5">
        <v>5</v>
      </c>
      <c r="B14" t="s">
        <v>52</v>
      </c>
      <c r="C14" t="s">
        <v>52</v>
      </c>
      <c r="D14" s="5">
        <v>1</v>
      </c>
      <c r="E14" s="11">
        <v>19</v>
      </c>
      <c r="F14" s="12">
        <f t="shared" si="0"/>
        <v>19</v>
      </c>
    </row>
    <row r="15" spans="1:6" x14ac:dyDescent="0.45">
      <c r="A15" s="5">
        <v>6</v>
      </c>
      <c r="B15" t="s">
        <v>51</v>
      </c>
      <c r="C15" t="s">
        <v>51</v>
      </c>
      <c r="D15" s="5">
        <v>1</v>
      </c>
      <c r="E15" s="11">
        <v>14</v>
      </c>
      <c r="F15" s="12">
        <f t="shared" si="0"/>
        <v>14</v>
      </c>
    </row>
    <row r="16" spans="1:6" x14ac:dyDescent="0.45">
      <c r="A16" s="5">
        <v>6</v>
      </c>
      <c r="B16" t="s">
        <v>52</v>
      </c>
      <c r="C16" t="s">
        <v>52</v>
      </c>
      <c r="D16" s="5">
        <v>5</v>
      </c>
      <c r="E16" s="11">
        <v>19</v>
      </c>
      <c r="F16" s="12">
        <f t="shared" si="0"/>
        <v>95</v>
      </c>
    </row>
    <row r="17" spans="1:6" x14ac:dyDescent="0.45">
      <c r="A17" s="5">
        <v>6</v>
      </c>
      <c r="B17" t="s">
        <v>53</v>
      </c>
      <c r="C17" t="s">
        <v>53</v>
      </c>
      <c r="D17" s="5">
        <v>1</v>
      </c>
      <c r="E17" s="11">
        <v>21</v>
      </c>
      <c r="F17" s="12">
        <f t="shared" si="0"/>
        <v>21</v>
      </c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9C9E-7705-4364-8ADD-C571AB8175C8}">
  <sheetPr codeName="Sheet5"/>
  <dimension ref="A1:D5"/>
  <sheetViews>
    <sheetView workbookViewId="0">
      <selection activeCell="D17" sqref="D17"/>
    </sheetView>
  </sheetViews>
  <sheetFormatPr defaultRowHeight="14.25" x14ac:dyDescent="0.45"/>
  <cols>
    <col min="2" max="2" width="15" bestFit="1" customWidth="1"/>
    <col min="3" max="3" width="9.19921875" bestFit="1" customWidth="1"/>
    <col min="4" max="4" width="9.86328125" bestFit="1" customWidth="1"/>
  </cols>
  <sheetData>
    <row r="1" spans="1:4" x14ac:dyDescent="0.45">
      <c r="A1" s="53" t="s">
        <v>55</v>
      </c>
      <c r="B1" s="53"/>
      <c r="C1" s="53"/>
      <c r="D1" s="53"/>
    </row>
    <row r="2" spans="1:4" s="5" customFormat="1" x14ac:dyDescent="0.45">
      <c r="A2" s="14" t="s">
        <v>57</v>
      </c>
      <c r="B2" s="14" t="s">
        <v>56</v>
      </c>
      <c r="C2" s="14" t="s">
        <v>6</v>
      </c>
      <c r="D2" s="14" t="s">
        <v>7</v>
      </c>
    </row>
    <row r="3" spans="1:4" x14ac:dyDescent="0.45">
      <c r="A3" s="5">
        <v>1</v>
      </c>
      <c r="B3" t="s">
        <v>40</v>
      </c>
      <c r="C3" s="3">
        <v>44563</v>
      </c>
      <c r="D3" s="11">
        <v>754</v>
      </c>
    </row>
    <row r="4" spans="1:4" x14ac:dyDescent="0.45">
      <c r="A4" s="5">
        <v>2</v>
      </c>
      <c r="B4" t="s">
        <v>41</v>
      </c>
      <c r="C4" s="3">
        <v>44566</v>
      </c>
      <c r="D4" s="11">
        <v>468</v>
      </c>
    </row>
    <row r="5" spans="1:4" x14ac:dyDescent="0.45">
      <c r="A5" s="5">
        <v>3</v>
      </c>
      <c r="B5" t="s">
        <v>38</v>
      </c>
      <c r="C5" s="3">
        <v>44586</v>
      </c>
      <c r="D5" s="11">
        <v>1080</v>
      </c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6B155-4B06-42E4-8F5F-6F5DB0FBBE4E}">
  <sheetPr codeName="Sheet6"/>
  <dimension ref="A1:F11"/>
  <sheetViews>
    <sheetView workbookViewId="0">
      <selection activeCell="G5" sqref="G5"/>
    </sheetView>
  </sheetViews>
  <sheetFormatPr defaultRowHeight="14.25" x14ac:dyDescent="0.45"/>
  <cols>
    <col min="1" max="1" width="9.33203125" style="5" customWidth="1"/>
    <col min="2" max="3" width="15.33203125" bestFit="1" customWidth="1"/>
    <col min="4" max="4" width="9.06640625" style="5"/>
  </cols>
  <sheetData>
    <row r="1" spans="1:6" x14ac:dyDescent="0.45">
      <c r="A1" s="54" t="s">
        <v>58</v>
      </c>
      <c r="B1" s="54"/>
      <c r="C1" s="54"/>
      <c r="D1" s="54"/>
      <c r="E1" s="54"/>
      <c r="F1" s="54"/>
    </row>
    <row r="2" spans="1:6" s="5" customFormat="1" x14ac:dyDescent="0.45">
      <c r="A2" s="15" t="s">
        <v>59</v>
      </c>
      <c r="B2" s="15" t="s">
        <v>43</v>
      </c>
      <c r="C2" s="15" t="s">
        <v>44</v>
      </c>
      <c r="D2" s="15" t="s">
        <v>45</v>
      </c>
      <c r="E2" s="15" t="s">
        <v>46</v>
      </c>
      <c r="F2" s="15" t="s">
        <v>7</v>
      </c>
    </row>
    <row r="3" spans="1:6" x14ac:dyDescent="0.45">
      <c r="A3" s="5">
        <v>1</v>
      </c>
      <c r="B3" t="s">
        <v>60</v>
      </c>
      <c r="C3" t="s">
        <v>60</v>
      </c>
      <c r="D3" s="5">
        <v>12</v>
      </c>
      <c r="E3" s="11">
        <v>11</v>
      </c>
      <c r="F3" s="12">
        <f>E3*D3</f>
        <v>132</v>
      </c>
    </row>
    <row r="4" spans="1:6" x14ac:dyDescent="0.45">
      <c r="A4" s="5">
        <v>1</v>
      </c>
      <c r="B4" t="s">
        <v>61</v>
      </c>
      <c r="C4" t="s">
        <v>61</v>
      </c>
      <c r="D4" s="5">
        <v>14</v>
      </c>
      <c r="E4" s="11">
        <v>17</v>
      </c>
      <c r="F4" s="12">
        <f t="shared" ref="F4:F11" si="0">E4*D4</f>
        <v>238</v>
      </c>
    </row>
    <row r="5" spans="1:6" x14ac:dyDescent="0.45">
      <c r="A5" s="5">
        <v>1</v>
      </c>
      <c r="B5" t="s">
        <v>53</v>
      </c>
      <c r="C5" t="s">
        <v>53</v>
      </c>
      <c r="D5" s="5">
        <v>24</v>
      </c>
      <c r="E5" s="11">
        <v>16</v>
      </c>
      <c r="F5" s="12">
        <f t="shared" si="0"/>
        <v>384</v>
      </c>
    </row>
    <row r="6" spans="1:6" x14ac:dyDescent="0.45">
      <c r="A6" s="5">
        <v>2</v>
      </c>
      <c r="B6" t="s">
        <v>47</v>
      </c>
      <c r="C6" t="s">
        <v>47</v>
      </c>
      <c r="D6" s="5">
        <v>12</v>
      </c>
      <c r="E6" s="11">
        <v>11</v>
      </c>
      <c r="F6" s="12">
        <f t="shared" si="0"/>
        <v>132</v>
      </c>
    </row>
    <row r="7" spans="1:6" x14ac:dyDescent="0.45">
      <c r="A7" s="5">
        <v>2</v>
      </c>
      <c r="B7" t="s">
        <v>52</v>
      </c>
      <c r="C7" t="s">
        <v>52</v>
      </c>
      <c r="D7" s="5">
        <v>12</v>
      </c>
      <c r="E7" s="11">
        <v>14</v>
      </c>
      <c r="F7" s="12">
        <f t="shared" si="0"/>
        <v>168</v>
      </c>
    </row>
    <row r="8" spans="1:6" x14ac:dyDescent="0.45">
      <c r="A8" s="5">
        <v>2</v>
      </c>
      <c r="B8" t="s">
        <v>52</v>
      </c>
      <c r="C8" t="s">
        <v>52</v>
      </c>
      <c r="D8" s="5">
        <v>12</v>
      </c>
      <c r="E8" s="11">
        <v>14</v>
      </c>
      <c r="F8" s="12">
        <f t="shared" si="0"/>
        <v>168</v>
      </c>
    </row>
    <row r="9" spans="1:6" x14ac:dyDescent="0.45">
      <c r="A9" s="5">
        <v>3</v>
      </c>
      <c r="B9" t="s">
        <v>62</v>
      </c>
      <c r="C9" t="s">
        <v>62</v>
      </c>
      <c r="D9" s="5">
        <v>24</v>
      </c>
      <c r="E9" s="11">
        <v>22</v>
      </c>
      <c r="F9" s="12">
        <f t="shared" si="0"/>
        <v>528</v>
      </c>
    </row>
    <row r="10" spans="1:6" x14ac:dyDescent="0.45">
      <c r="A10" s="5">
        <v>3</v>
      </c>
      <c r="B10" t="s">
        <v>52</v>
      </c>
      <c r="C10" t="s">
        <v>52</v>
      </c>
      <c r="D10" s="5">
        <v>12</v>
      </c>
      <c r="E10" s="11">
        <v>14</v>
      </c>
      <c r="F10" s="12">
        <f t="shared" si="0"/>
        <v>168</v>
      </c>
    </row>
    <row r="11" spans="1:6" x14ac:dyDescent="0.45">
      <c r="A11" s="5">
        <v>3</v>
      </c>
      <c r="B11" t="s">
        <v>53</v>
      </c>
      <c r="C11" t="s">
        <v>53</v>
      </c>
      <c r="D11" s="5">
        <v>24</v>
      </c>
      <c r="E11" s="11">
        <v>16</v>
      </c>
      <c r="F11" s="12">
        <f t="shared" si="0"/>
        <v>384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E26D-2F25-492A-B091-5D5DF74FD8D8}">
  <sheetPr codeName="Sheet7"/>
  <dimension ref="A1:M6"/>
  <sheetViews>
    <sheetView workbookViewId="0">
      <selection activeCell="M8" sqref="M8"/>
    </sheetView>
  </sheetViews>
  <sheetFormatPr defaultRowHeight="14.25" x14ac:dyDescent="0.45"/>
  <cols>
    <col min="1" max="1" width="9.06640625" style="5"/>
    <col min="2" max="2" width="13" bestFit="1" customWidth="1"/>
    <col min="3" max="3" width="10.73046875" bestFit="1" customWidth="1"/>
    <col min="8" max="8" width="14.53125" bestFit="1" customWidth="1"/>
    <col min="13" max="13" width="16.46484375" customWidth="1"/>
  </cols>
  <sheetData>
    <row r="1" spans="1:13" x14ac:dyDescent="0.45">
      <c r="A1" s="52" t="s">
        <v>63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s="5" customFormat="1" x14ac:dyDescent="0.45">
      <c r="A2" s="10" t="s">
        <v>64</v>
      </c>
      <c r="B2" s="10" t="s">
        <v>65</v>
      </c>
      <c r="C2" s="10" t="s">
        <v>66</v>
      </c>
      <c r="D2" s="10" t="s">
        <v>67</v>
      </c>
      <c r="E2" s="10" t="s">
        <v>20</v>
      </c>
      <c r="F2" s="10" t="s">
        <v>68</v>
      </c>
      <c r="G2" s="10" t="s">
        <v>69</v>
      </c>
      <c r="H2" s="10" t="s">
        <v>70</v>
      </c>
      <c r="I2" s="10" t="s">
        <v>71</v>
      </c>
      <c r="J2" s="10" t="s">
        <v>72</v>
      </c>
      <c r="K2" s="10" t="s">
        <v>73</v>
      </c>
      <c r="L2" s="10" t="s">
        <v>74</v>
      </c>
      <c r="M2" s="10" t="s">
        <v>102</v>
      </c>
    </row>
    <row r="3" spans="1:13" x14ac:dyDescent="0.45">
      <c r="A3" s="5">
        <v>3</v>
      </c>
      <c r="B3" t="s">
        <v>75</v>
      </c>
      <c r="C3">
        <v>4899865654</v>
      </c>
      <c r="E3" t="s">
        <v>5</v>
      </c>
      <c r="G3" t="s">
        <v>79</v>
      </c>
      <c r="H3" s="16" t="s">
        <v>80</v>
      </c>
      <c r="J3" t="s">
        <v>81</v>
      </c>
      <c r="K3" t="s">
        <v>82</v>
      </c>
      <c r="L3">
        <v>51988</v>
      </c>
    </row>
    <row r="4" spans="1:13" x14ac:dyDescent="0.45">
      <c r="A4" s="5">
        <v>4</v>
      </c>
      <c r="B4" t="s">
        <v>76</v>
      </c>
      <c r="C4">
        <v>3469889866</v>
      </c>
      <c r="E4" t="s">
        <v>77</v>
      </c>
      <c r="G4" t="s">
        <v>79</v>
      </c>
      <c r="H4" s="16" t="s">
        <v>80</v>
      </c>
      <c r="J4" t="s">
        <v>83</v>
      </c>
      <c r="K4" t="s">
        <v>84</v>
      </c>
      <c r="L4">
        <v>43119</v>
      </c>
    </row>
    <row r="5" spans="1:13" x14ac:dyDescent="0.45">
      <c r="A5" s="5">
        <v>5</v>
      </c>
      <c r="B5" t="s">
        <v>14</v>
      </c>
      <c r="C5">
        <v>8768698799</v>
      </c>
      <c r="E5" t="s">
        <v>78</v>
      </c>
      <c r="G5" t="s">
        <v>79</v>
      </c>
      <c r="H5" s="16" t="s">
        <v>80</v>
      </c>
      <c r="J5" t="s">
        <v>85</v>
      </c>
      <c r="K5" t="s">
        <v>85</v>
      </c>
      <c r="L5">
        <v>53518</v>
      </c>
    </row>
    <row r="6" spans="1:13" x14ac:dyDescent="0.45">
      <c r="A6" s="5">
        <v>6</v>
      </c>
      <c r="B6" t="s">
        <v>16</v>
      </c>
      <c r="C6">
        <v>8768980900</v>
      </c>
      <c r="E6" t="s">
        <v>78</v>
      </c>
      <c r="G6" t="s">
        <v>79</v>
      </c>
      <c r="H6" s="16" t="s">
        <v>80</v>
      </c>
      <c r="J6" t="s">
        <v>86</v>
      </c>
      <c r="K6" t="s">
        <v>87</v>
      </c>
      <c r="L6">
        <v>47089</v>
      </c>
    </row>
  </sheetData>
  <mergeCells count="1">
    <mergeCell ref="A1:M1"/>
  </mergeCells>
  <hyperlinks>
    <hyperlink ref="H3" r:id="rId1" xr:uid="{E41709F8-2A0E-4F80-A086-59B3F6385ADE}"/>
    <hyperlink ref="H4" r:id="rId2" xr:uid="{37C15925-6941-4342-B125-241B6C8B577D}"/>
    <hyperlink ref="H5" r:id="rId3" xr:uid="{564C98D7-D327-4ECC-9AE3-8737DC5D67F5}"/>
    <hyperlink ref="H6" r:id="rId4" xr:uid="{4618B38B-91F0-428C-B8A7-D08D0FB522AA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E794-1658-4A57-918E-CCE54D6D9B01}">
  <sheetPr codeName="Sheet8"/>
  <dimension ref="A1:K15"/>
  <sheetViews>
    <sheetView workbookViewId="0">
      <selection activeCell="F19" sqref="F19"/>
    </sheetView>
  </sheetViews>
  <sheetFormatPr defaultRowHeight="14.25" x14ac:dyDescent="0.45"/>
  <cols>
    <col min="1" max="2" width="19.86328125" bestFit="1" customWidth="1"/>
    <col min="3" max="3" width="9" bestFit="1" customWidth="1"/>
    <col min="4" max="4" width="8.19921875" bestFit="1" customWidth="1"/>
    <col min="5" max="5" width="9" bestFit="1" customWidth="1"/>
    <col min="8" max="8" width="19.86328125" bestFit="1" customWidth="1"/>
  </cols>
  <sheetData>
    <row r="1" spans="1:11" x14ac:dyDescent="0.45">
      <c r="A1" s="55" t="s">
        <v>88</v>
      </c>
      <c r="B1" s="55"/>
      <c r="C1" s="55"/>
      <c r="D1" s="55"/>
      <c r="E1" s="55"/>
    </row>
    <row r="2" spans="1:11" x14ac:dyDescent="0.45">
      <c r="A2" s="17" t="s">
        <v>89</v>
      </c>
      <c r="B2" s="17" t="s">
        <v>90</v>
      </c>
      <c r="C2" s="17" t="s">
        <v>91</v>
      </c>
      <c r="D2" s="17" t="s">
        <v>92</v>
      </c>
      <c r="E2" s="17" t="s">
        <v>93</v>
      </c>
      <c r="H2" s="18" t="s">
        <v>89</v>
      </c>
      <c r="I2" s="18" t="s">
        <v>103</v>
      </c>
      <c r="J2" s="18" t="s">
        <v>104</v>
      </c>
      <c r="K2" s="18" t="s">
        <v>105</v>
      </c>
    </row>
    <row r="3" spans="1:11" x14ac:dyDescent="0.45">
      <c r="A3" t="s">
        <v>62</v>
      </c>
      <c r="B3" t="s">
        <v>62</v>
      </c>
      <c r="C3">
        <v>24</v>
      </c>
      <c r="D3" s="11">
        <v>22</v>
      </c>
      <c r="E3" s="12">
        <v>27</v>
      </c>
      <c r="H3" t="s">
        <v>62</v>
      </c>
      <c r="I3">
        <v>24</v>
      </c>
      <c r="J3">
        <v>0</v>
      </c>
      <c r="K3">
        <f>I3-J3</f>
        <v>24</v>
      </c>
    </row>
    <row r="4" spans="1:11" x14ac:dyDescent="0.45">
      <c r="A4" t="s">
        <v>94</v>
      </c>
      <c r="B4" t="s">
        <v>94</v>
      </c>
      <c r="C4">
        <v>24</v>
      </c>
      <c r="D4" s="11">
        <v>17</v>
      </c>
      <c r="E4" s="11">
        <v>22</v>
      </c>
      <c r="H4" t="s">
        <v>94</v>
      </c>
      <c r="I4">
        <v>0</v>
      </c>
      <c r="J4">
        <v>0</v>
      </c>
      <c r="K4">
        <f t="shared" ref="K4:K15" si="0">I4-J4</f>
        <v>0</v>
      </c>
    </row>
    <row r="5" spans="1:11" x14ac:dyDescent="0.45">
      <c r="A5" t="s">
        <v>51</v>
      </c>
      <c r="B5" t="s">
        <v>51</v>
      </c>
      <c r="C5">
        <v>12</v>
      </c>
      <c r="D5" s="11">
        <v>9</v>
      </c>
      <c r="E5" s="11">
        <v>14</v>
      </c>
      <c r="H5" t="s">
        <v>51</v>
      </c>
      <c r="I5">
        <v>0</v>
      </c>
      <c r="J5">
        <v>4</v>
      </c>
      <c r="K5">
        <f t="shared" si="0"/>
        <v>-4</v>
      </c>
    </row>
    <row r="6" spans="1:11" x14ac:dyDescent="0.45">
      <c r="A6" t="s">
        <v>47</v>
      </c>
      <c r="B6" t="s">
        <v>47</v>
      </c>
      <c r="C6">
        <v>12</v>
      </c>
      <c r="D6" s="11">
        <v>11</v>
      </c>
      <c r="E6" s="11">
        <v>16</v>
      </c>
      <c r="H6" t="s">
        <v>47</v>
      </c>
      <c r="I6">
        <v>24</v>
      </c>
      <c r="J6">
        <v>6</v>
      </c>
      <c r="K6">
        <f t="shared" si="0"/>
        <v>18</v>
      </c>
    </row>
    <row r="7" spans="1:11" x14ac:dyDescent="0.45">
      <c r="A7" t="s">
        <v>95</v>
      </c>
      <c r="B7" t="s">
        <v>95</v>
      </c>
      <c r="C7">
        <v>12</v>
      </c>
      <c r="D7" s="11">
        <v>14</v>
      </c>
      <c r="E7" s="11">
        <v>19</v>
      </c>
      <c r="H7" t="s">
        <v>95</v>
      </c>
      <c r="I7">
        <v>36</v>
      </c>
      <c r="J7">
        <v>7</v>
      </c>
      <c r="K7">
        <f t="shared" si="0"/>
        <v>29</v>
      </c>
    </row>
    <row r="8" spans="1:11" x14ac:dyDescent="0.45">
      <c r="A8" t="s">
        <v>96</v>
      </c>
      <c r="B8" t="s">
        <v>96</v>
      </c>
      <c r="C8">
        <v>24</v>
      </c>
      <c r="D8" s="11">
        <v>16</v>
      </c>
      <c r="E8" s="11">
        <v>21</v>
      </c>
      <c r="H8" t="s">
        <v>96</v>
      </c>
      <c r="I8">
        <v>48</v>
      </c>
      <c r="J8">
        <v>2</v>
      </c>
      <c r="K8">
        <f t="shared" si="0"/>
        <v>46</v>
      </c>
    </row>
    <row r="9" spans="1:11" x14ac:dyDescent="0.45">
      <c r="A9" t="s">
        <v>61</v>
      </c>
      <c r="B9" t="s">
        <v>61</v>
      </c>
      <c r="C9">
        <v>14</v>
      </c>
      <c r="D9" s="11">
        <v>17</v>
      </c>
      <c r="E9" s="11">
        <v>22</v>
      </c>
      <c r="H9" t="s">
        <v>61</v>
      </c>
      <c r="I9">
        <v>14</v>
      </c>
      <c r="J9">
        <v>1</v>
      </c>
      <c r="K9">
        <f t="shared" si="0"/>
        <v>13</v>
      </c>
    </row>
    <row r="10" spans="1:11" x14ac:dyDescent="0.45">
      <c r="A10" t="s">
        <v>97</v>
      </c>
      <c r="B10" t="s">
        <v>97</v>
      </c>
      <c r="C10">
        <v>12</v>
      </c>
      <c r="D10" s="11">
        <v>5</v>
      </c>
      <c r="E10" s="11">
        <v>10</v>
      </c>
      <c r="H10" t="s">
        <v>97</v>
      </c>
      <c r="I10">
        <v>0</v>
      </c>
      <c r="J10">
        <v>0</v>
      </c>
      <c r="K10">
        <f t="shared" si="0"/>
        <v>0</v>
      </c>
    </row>
    <row r="11" spans="1:11" x14ac:dyDescent="0.45">
      <c r="A11" t="s">
        <v>98</v>
      </c>
      <c r="B11" t="s">
        <v>98</v>
      </c>
      <c r="C11">
        <v>12</v>
      </c>
      <c r="D11" s="11">
        <v>10</v>
      </c>
      <c r="E11" s="11">
        <v>15</v>
      </c>
      <c r="H11" t="s">
        <v>98</v>
      </c>
      <c r="I11">
        <v>0</v>
      </c>
      <c r="J11">
        <v>0</v>
      </c>
      <c r="K11">
        <f t="shared" si="0"/>
        <v>0</v>
      </c>
    </row>
    <row r="12" spans="1:11" x14ac:dyDescent="0.45">
      <c r="A12" t="s">
        <v>99</v>
      </c>
      <c r="B12" t="s">
        <v>99</v>
      </c>
      <c r="C12">
        <v>20</v>
      </c>
      <c r="D12" s="11">
        <v>16</v>
      </c>
      <c r="E12" s="11">
        <v>21</v>
      </c>
      <c r="H12" t="s">
        <v>99</v>
      </c>
      <c r="I12">
        <v>0</v>
      </c>
      <c r="J12">
        <v>0</v>
      </c>
      <c r="K12">
        <f t="shared" si="0"/>
        <v>0</v>
      </c>
    </row>
    <row r="13" spans="1:11" x14ac:dyDescent="0.45">
      <c r="A13" t="s">
        <v>100</v>
      </c>
      <c r="B13" t="s">
        <v>100</v>
      </c>
      <c r="C13">
        <v>12</v>
      </c>
      <c r="D13" s="11">
        <v>10</v>
      </c>
      <c r="E13" s="11">
        <v>15</v>
      </c>
      <c r="H13" t="s">
        <v>100</v>
      </c>
      <c r="I13">
        <v>0</v>
      </c>
      <c r="J13">
        <v>0</v>
      </c>
      <c r="K13">
        <f t="shared" si="0"/>
        <v>0</v>
      </c>
    </row>
    <row r="14" spans="1:11" x14ac:dyDescent="0.45">
      <c r="A14" t="s">
        <v>101</v>
      </c>
      <c r="B14" t="s">
        <v>101</v>
      </c>
      <c r="C14">
        <v>24</v>
      </c>
      <c r="D14" s="11">
        <v>9</v>
      </c>
      <c r="E14" s="11">
        <v>14</v>
      </c>
      <c r="H14" t="s">
        <v>101</v>
      </c>
      <c r="I14">
        <v>0</v>
      </c>
      <c r="J14">
        <v>0</v>
      </c>
      <c r="K14">
        <f t="shared" si="0"/>
        <v>0</v>
      </c>
    </row>
    <row r="15" spans="1:11" x14ac:dyDescent="0.45">
      <c r="A15" t="s">
        <v>101</v>
      </c>
      <c r="B15" t="s">
        <v>101</v>
      </c>
      <c r="C15">
        <v>24</v>
      </c>
      <c r="D15" s="11">
        <v>9</v>
      </c>
      <c r="E15" s="11">
        <v>14</v>
      </c>
      <c r="H15" t="s">
        <v>101</v>
      </c>
      <c r="I15">
        <v>0</v>
      </c>
      <c r="J15">
        <v>0</v>
      </c>
      <c r="K15">
        <f t="shared" si="0"/>
        <v>0</v>
      </c>
    </row>
  </sheetData>
  <mergeCells count="1">
    <mergeCell ref="A1: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337C-836D-4781-8313-C0B6B9214C93}">
  <sheetPr codeName="Sheet9"/>
  <dimension ref="A1:Q9"/>
  <sheetViews>
    <sheetView workbookViewId="0">
      <selection activeCell="D1" sqref="D1"/>
    </sheetView>
  </sheetViews>
  <sheetFormatPr defaultRowHeight="14.25" x14ac:dyDescent="0.45"/>
  <cols>
    <col min="1" max="1" width="9.19921875" style="5" bestFit="1" customWidth="1"/>
    <col min="3" max="3" width="12.796875" bestFit="1" customWidth="1"/>
    <col min="5" max="5" width="11.265625" customWidth="1"/>
    <col min="6" max="6" width="18.06640625" bestFit="1" customWidth="1"/>
    <col min="13" max="13" width="12.796875" bestFit="1" customWidth="1"/>
    <col min="16" max="16" width="11.19921875" bestFit="1" customWidth="1"/>
  </cols>
  <sheetData>
    <row r="1" spans="1:17" x14ac:dyDescent="0.45">
      <c r="A1" s="20" t="s">
        <v>112</v>
      </c>
      <c r="B1" s="20" t="s">
        <v>135</v>
      </c>
      <c r="C1" s="20" t="s">
        <v>114</v>
      </c>
      <c r="D1" s="20" t="s">
        <v>113</v>
      </c>
      <c r="E1" s="20" t="s">
        <v>136</v>
      </c>
      <c r="F1" s="20" t="s">
        <v>137</v>
      </c>
      <c r="H1" s="6"/>
      <c r="I1" s="6"/>
      <c r="J1" s="55" t="s">
        <v>10</v>
      </c>
      <c r="K1" s="55"/>
      <c r="M1" s="55" t="s">
        <v>110</v>
      </c>
      <c r="N1" s="55"/>
      <c r="P1" s="55" t="s">
        <v>42</v>
      </c>
      <c r="Q1" s="55"/>
    </row>
    <row r="2" spans="1:17" s="5" customFormat="1" x14ac:dyDescent="0.45">
      <c r="A2" s="55" t="s">
        <v>106</v>
      </c>
      <c r="B2" s="55"/>
      <c r="C2" s="55"/>
      <c r="D2" s="55"/>
      <c r="E2" s="55"/>
      <c r="F2" s="55"/>
      <c r="J2" s="18" t="s">
        <v>20</v>
      </c>
      <c r="K2" s="18" t="s">
        <v>20</v>
      </c>
      <c r="M2" s="18" t="s">
        <v>107</v>
      </c>
      <c r="N2" s="18" t="s">
        <v>46</v>
      </c>
      <c r="P2" s="18" t="s">
        <v>107</v>
      </c>
      <c r="Q2" s="18" t="s">
        <v>46</v>
      </c>
    </row>
    <row r="3" spans="1:17" x14ac:dyDescent="0.45">
      <c r="A3" s="18" t="s">
        <v>6</v>
      </c>
      <c r="B3" s="18" t="s">
        <v>46</v>
      </c>
      <c r="C3" s="18" t="s">
        <v>107</v>
      </c>
      <c r="D3" s="18" t="s">
        <v>20</v>
      </c>
      <c r="E3" s="18" t="s">
        <v>108</v>
      </c>
      <c r="F3" s="18" t="s">
        <v>109</v>
      </c>
      <c r="J3" t="s">
        <v>22</v>
      </c>
      <c r="K3" t="s">
        <v>42</v>
      </c>
      <c r="M3" t="s">
        <v>23</v>
      </c>
      <c r="N3">
        <v>0</v>
      </c>
      <c r="P3" t="s">
        <v>111</v>
      </c>
    </row>
    <row r="4" spans="1:17" x14ac:dyDescent="0.45">
      <c r="A4" s="19">
        <v>44581</v>
      </c>
      <c r="B4" s="11">
        <v>55</v>
      </c>
      <c r="C4" s="3" t="s">
        <v>23</v>
      </c>
      <c r="D4" s="4" t="s">
        <v>22</v>
      </c>
      <c r="E4" t="s">
        <v>35</v>
      </c>
      <c r="F4" t="s">
        <v>116</v>
      </c>
      <c r="M4" t="s">
        <v>24</v>
      </c>
      <c r="N4">
        <v>0</v>
      </c>
      <c r="P4" t="s">
        <v>26</v>
      </c>
    </row>
    <row r="5" spans="1:17" x14ac:dyDescent="0.45">
      <c r="A5" s="19">
        <v>44566</v>
      </c>
      <c r="B5" s="11">
        <v>500</v>
      </c>
      <c r="C5" s="3" t="s">
        <v>27</v>
      </c>
      <c r="D5" s="4" t="s">
        <v>42</v>
      </c>
      <c r="E5" t="s">
        <v>33</v>
      </c>
      <c r="F5" t="s">
        <v>116</v>
      </c>
      <c r="M5" t="s">
        <v>21</v>
      </c>
      <c r="N5">
        <v>0</v>
      </c>
    </row>
    <row r="6" spans="1:17" x14ac:dyDescent="0.45">
      <c r="A6" s="19">
        <v>44576</v>
      </c>
      <c r="B6" s="11">
        <v>150</v>
      </c>
      <c r="C6" s="3" t="s">
        <v>24</v>
      </c>
      <c r="D6" s="4" t="s">
        <v>22</v>
      </c>
      <c r="E6" t="s">
        <v>115</v>
      </c>
      <c r="F6" t="s">
        <v>117</v>
      </c>
    </row>
    <row r="7" spans="1:17" x14ac:dyDescent="0.45">
      <c r="A7" s="19">
        <v>44696</v>
      </c>
      <c r="B7" s="11">
        <v>25</v>
      </c>
      <c r="C7" s="3" t="s">
        <v>26</v>
      </c>
      <c r="D7" s="4" t="s">
        <v>42</v>
      </c>
      <c r="E7" t="s">
        <v>33</v>
      </c>
      <c r="F7" t="s">
        <v>118</v>
      </c>
    </row>
    <row r="8" spans="1:17" x14ac:dyDescent="0.45">
      <c r="A8" s="19">
        <v>44576</v>
      </c>
      <c r="B8" s="11">
        <v>15</v>
      </c>
      <c r="C8" s="3" t="s">
        <v>26</v>
      </c>
      <c r="D8" s="4" t="s">
        <v>42</v>
      </c>
      <c r="E8" t="s">
        <v>33</v>
      </c>
      <c r="F8" t="s">
        <v>119</v>
      </c>
    </row>
    <row r="9" spans="1:17" x14ac:dyDescent="0.45">
      <c r="A9" s="19">
        <v>44571</v>
      </c>
      <c r="B9" s="11">
        <v>600</v>
      </c>
      <c r="C9" s="3" t="s">
        <v>21</v>
      </c>
      <c r="D9" s="4" t="s">
        <v>22</v>
      </c>
      <c r="F9" t="s">
        <v>120</v>
      </c>
    </row>
  </sheetData>
  <mergeCells count="4">
    <mergeCell ref="A2:F2"/>
    <mergeCell ref="J1:K1"/>
    <mergeCell ref="M1:N1"/>
    <mergeCell ref="P1:Q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ERP</vt:lpstr>
      <vt:lpstr>Invoices</vt:lpstr>
      <vt:lpstr>Lists</vt:lpstr>
      <vt:lpstr>Invoice Items</vt:lpstr>
      <vt:lpstr>Purchases</vt:lpstr>
      <vt:lpstr>PurchItems</vt:lpstr>
      <vt:lpstr>Customers</vt:lpstr>
      <vt:lpstr>Inventory Items</vt:lpstr>
      <vt:lpstr>Transactions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Fatemeh jm</dc:creator>
  <cp:lastModifiedBy>Fatemeh jm</cp:lastModifiedBy>
  <dcterms:created xsi:type="dcterms:W3CDTF">2022-05-24T22:20:52Z</dcterms:created>
  <dcterms:modified xsi:type="dcterms:W3CDTF">2022-05-25T18:21:09Z</dcterms:modified>
</cp:coreProperties>
</file>